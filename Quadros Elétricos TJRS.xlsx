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.Quadros" sheetId="1" r:id="rId5"/>
    <sheet state="hidden" name="Plan1" sheetId="2" r:id="rId6"/>
    <sheet state="hidden" name="RELATÓRIO" sheetId="3" r:id="rId7"/>
    <sheet state="visible" name="Localização" sheetId="4" r:id="rId8"/>
    <sheet state="visible" name="Validação" sheetId="5" r:id="rId9"/>
    <sheet state="visible" name="Diagrama" sheetId="6" r:id="rId10"/>
    <sheet state="visible" name="LocalBackup" sheetId="7" r:id="rId11"/>
    <sheet state="visible" name="WEB_3D" sheetId="8" r:id="rId12"/>
  </sheets>
  <definedNames>
    <definedName hidden="1" localSheetId="0" name="_xlnm._FilterDatabase">Lev.Quadros!$A$2:$V$39</definedName>
    <definedName hidden="1" localSheetId="3" name="_xlnm._FilterDatabase">'Localização'!$A$2:$K$117</definedName>
  </definedNames>
  <calcPr/>
  <pivotCaches>
    <pivotCache cacheId="0" r:id="rId13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2">
      <text>
        <t xml:space="preserve">Projetos Quadros EletroMW</t>
      </text>
    </comment>
  </commentList>
</comments>
</file>

<file path=xl/sharedStrings.xml><?xml version="1.0" encoding="utf-8"?>
<sst xmlns="http://schemas.openxmlformats.org/spreadsheetml/2006/main" count="681" uniqueCount="186">
  <si>
    <t>Concat.</t>
  </si>
  <si>
    <t>DESCRIÇÃO</t>
  </si>
  <si>
    <t>Nova TAG</t>
  </si>
  <si>
    <t>PAI</t>
  </si>
  <si>
    <t>PAVIMENTO</t>
  </si>
  <si>
    <t>SISTEMA</t>
  </si>
  <si>
    <t>SITUAÇÃO</t>
  </si>
  <si>
    <t>LOCAL</t>
  </si>
  <si>
    <t>&lt;=Link</t>
  </si>
  <si>
    <t>Foto360</t>
  </si>
  <si>
    <t>Proj. Quadros</t>
  </si>
  <si>
    <t>Projetos Quadros Executivos</t>
  </si>
  <si>
    <t>Pin.</t>
  </si>
  <si>
    <t>Foto.Quadro</t>
  </si>
  <si>
    <t>TIPO</t>
  </si>
  <si>
    <t>OBS:</t>
  </si>
  <si>
    <t>id</t>
  </si>
  <si>
    <t>x_planta</t>
  </si>
  <si>
    <t>y_planta</t>
  </si>
  <si>
    <t>x_3d</t>
  </si>
  <si>
    <t>y_3d</t>
  </si>
  <si>
    <t>z_3d</t>
  </si>
  <si>
    <t>3QD-E3</t>
  </si>
  <si>
    <t>QDEC-12E3</t>
  </si>
  <si>
    <t>4º Pav.</t>
  </si>
  <si>
    <t>Elétrica</t>
  </si>
  <si>
    <t>Existente</t>
  </si>
  <si>
    <t>TJ-04º Pav.-Sala Elétrica E2</t>
  </si>
  <si>
    <t>QDEC-13E3</t>
  </si>
  <si>
    <t>TJ-04º Pav.-Sala Elétrica E3</t>
  </si>
  <si>
    <t>QDEE-12E3</t>
  </si>
  <si>
    <t>TJ-04º Pav.-Sala Elétrica W2</t>
  </si>
  <si>
    <t>QDI-12E3</t>
  </si>
  <si>
    <t>TJ-04º Pav.-Sala Elétrica W3</t>
  </si>
  <si>
    <t>QDEC-12E2</t>
  </si>
  <si>
    <t>12º Pav.</t>
  </si>
  <si>
    <t>Novo</t>
  </si>
  <si>
    <t>TJ-12º Pav.-Sala Elétrica E2</t>
  </si>
  <si>
    <t>08421 - QDEC-12E2.pdf</t>
  </si>
  <si>
    <t>QDEE-12E2</t>
  </si>
  <si>
    <t>09021 - QDEE-12E2.pdf</t>
  </si>
  <si>
    <t>QDI-12E2</t>
  </si>
  <si>
    <t>07821 - QDI-12E2.pdf</t>
  </si>
  <si>
    <t>TJ-12º Pav.-Sala Elétrica E3</t>
  </si>
  <si>
    <t>08521 - QDEC-12E3.pdf</t>
  </si>
  <si>
    <t>13º Pav.</t>
  </si>
  <si>
    <t>08921 - QDEC-13E3.pdf</t>
  </si>
  <si>
    <t>09521 - QDEE-12E3.pdf</t>
  </si>
  <si>
    <t>08021 - QDI-12E3.pdf</t>
  </si>
  <si>
    <t>QDEC-12W2</t>
  </si>
  <si>
    <t>TJ-12º Pav.-Sala Elétrica W2</t>
  </si>
  <si>
    <t>08621 - QDEC-12W2.pdf</t>
  </si>
  <si>
    <t>QDEE-12W2</t>
  </si>
  <si>
    <t>09121 - QDEE-12W2.pdf</t>
  </si>
  <si>
    <t>QDI-12W2</t>
  </si>
  <si>
    <t>08121 - QDI-12W2.pdf</t>
  </si>
  <si>
    <t>QDEC-12W3</t>
  </si>
  <si>
    <t>TJ-12º Pav.-Sala Elétrica W3</t>
  </si>
  <si>
    <t>08721 - QDEC-12W3.pdf</t>
  </si>
  <si>
    <t>QDEE-12W3</t>
  </si>
  <si>
    <t>09321 - QDEE-12W3.pdf</t>
  </si>
  <si>
    <t>QDI-12W3</t>
  </si>
  <si>
    <t>07921 - QDI-12W3.pdf</t>
  </si>
  <si>
    <t>QDEE-13E3</t>
  </si>
  <si>
    <t>TJ-13º Pav.-Sala Elétrica E3</t>
  </si>
  <si>
    <t>09421 - QDEE-13E3.pdf</t>
  </si>
  <si>
    <t>QDI-13E3</t>
  </si>
  <si>
    <t>08221 - QDI-13E3.pdf</t>
  </si>
  <si>
    <t>QDEC-13W3</t>
  </si>
  <si>
    <t>TJ-13º Pav.-Sala Elétrica W3</t>
  </si>
  <si>
    <t>08821 - QDEC-13W3.pdf</t>
  </si>
  <si>
    <t>QDEE-13W3</t>
  </si>
  <si>
    <t>09221 - QDEE-13W3.pdf</t>
  </si>
  <si>
    <t>QDI-13W3</t>
  </si>
  <si>
    <t>08321 - QDI-13W3.pdf</t>
  </si>
  <si>
    <t>Quadro CD-C1SS1.pdf</t>
  </si>
  <si>
    <t>Térro</t>
  </si>
  <si>
    <t>TJ.ANX-Térreo-</t>
  </si>
  <si>
    <t>Quadro CD-C1SS2.pdf</t>
  </si>
  <si>
    <t>Quadro CD-C2P1.pdf</t>
  </si>
  <si>
    <t>Quadro CD-C2P2.pdf</t>
  </si>
  <si>
    <t>Quadro CD-C2SS1.pdf</t>
  </si>
  <si>
    <t>Quadro CD-C2SS2.pdf</t>
  </si>
  <si>
    <t>Quadro CD-C3SS1.pdf</t>
  </si>
  <si>
    <t>Quadro CD-C3SS2.pdf</t>
  </si>
  <si>
    <t>Quadro CD-CTE1.pdf</t>
  </si>
  <si>
    <t>Quadro CD-CTE2.pdf</t>
  </si>
  <si>
    <t>Quadro CD-ETE1.pdf</t>
  </si>
  <si>
    <t>Quadro CD-ETE2.pdf</t>
  </si>
  <si>
    <t>Quadro QG-ESTAC-NORTE.pdf</t>
  </si>
  <si>
    <t>Quadro QG-ESTAC-SUL.pdf</t>
  </si>
  <si>
    <t>QTDE (uni)</t>
  </si>
  <si>
    <t>QUADRO FANCOILS</t>
  </si>
  <si>
    <t>QUADRO EXAUSTORES</t>
  </si>
  <si>
    <t>Térreo</t>
  </si>
  <si>
    <t>INSTALADOS</t>
  </si>
  <si>
    <t>PERCENTUAL</t>
  </si>
  <si>
    <t>Mezanino</t>
  </si>
  <si>
    <t>2º Pavimento</t>
  </si>
  <si>
    <t>3º Pavimento</t>
  </si>
  <si>
    <t>4º Pavimento</t>
  </si>
  <si>
    <t>5º Pavimento</t>
  </si>
  <si>
    <t>6º Pavimento</t>
  </si>
  <si>
    <t>Cobertura</t>
  </si>
  <si>
    <t>TOTAL</t>
  </si>
  <si>
    <t xml:space="preserve">RELATÓRIO DE QUADROS </t>
  </si>
  <si>
    <t>DATA</t>
  </si>
  <si>
    <t>COMANDO</t>
  </si>
  <si>
    <t>DISTRIBUIÇÃO</t>
  </si>
  <si>
    <t>APROVAÇÃO</t>
  </si>
  <si>
    <t>NÃO APROVAÇÃO</t>
  </si>
  <si>
    <t xml:space="preserve">NÃO APROVAÇÃO </t>
  </si>
  <si>
    <t>EM ANÁLISE</t>
  </si>
  <si>
    <t>NÃO APROVADOS</t>
  </si>
  <si>
    <t>APROVADO PARA FABRICAÇÃO</t>
  </si>
  <si>
    <t>CORREÇÃO PROJETO EXECUTIVO</t>
  </si>
  <si>
    <t>ENVIADO GHC</t>
  </si>
  <si>
    <t>NomeConc.</t>
  </si>
  <si>
    <t>Pavimento</t>
  </si>
  <si>
    <t>2ºPav.</t>
  </si>
  <si>
    <t>Parent</t>
  </si>
  <si>
    <t>Setor</t>
  </si>
  <si>
    <t>Pin</t>
  </si>
  <si>
    <t>Link</t>
  </si>
  <si>
    <t>Tipo</t>
  </si>
  <si>
    <t>Foto360º</t>
  </si>
  <si>
    <t>Porta</t>
  </si>
  <si>
    <t>Observações</t>
  </si>
  <si>
    <t>TJ-02º Pav.</t>
  </si>
  <si>
    <t>Sala Elétrica E2</t>
  </si>
  <si>
    <t>E2</t>
  </si>
  <si>
    <t>Sala Elétrica E3</t>
  </si>
  <si>
    <t>E3</t>
  </si>
  <si>
    <t>Sala Elétrica W2</t>
  </si>
  <si>
    <t>W2</t>
  </si>
  <si>
    <t>Sala Elétrica W3</t>
  </si>
  <si>
    <t>W3</t>
  </si>
  <si>
    <t>TJ-03º Pav.</t>
  </si>
  <si>
    <t>TJ-04º Pav.</t>
  </si>
  <si>
    <t>https://photos.google.com/album/AF1QipNJAaZMyYxPFzC78T6Y7KRZc2jtSwC35HdfZPQd/photo/AF1QipOAs8tp3if3M89jdYr1XG_Uwgur02SOwXk4o86D</t>
  </si>
  <si>
    <t>https://photos.google.com/share/AF1QipPeNmAmLKZb5OwnD_ZCxO-oLVMAaoDVbiZEgKo9SEIldj0JatgswpGx7D4QwNtplg/photo/AF1QipMggUmuaHkE6oLyGCiZ7QFPzYEN7StmiaMinBbh?key=R1RyWjFkWDNIV2VlUXkzb0VuT0FyVHFWRkl1emZR</t>
  </si>
  <si>
    <t>https://photos.google.com/share/AF1QipOnxf0N19-SZoS0Yl0rS2KEgiBhevFZsrpr3uxkiLbBc-_-gXbdKKkerkfeefm6Ow/photo/AF1QipMMGGE-7efE0wnGXWwej2s_BXDtjVJhOShdfeKD?key=VmVLUnFTZVZGeV85R0YtUlEyQmNEXzdRamNxZWVB</t>
  </si>
  <si>
    <t>https://photos.google.com/share/AF1QipNVRUxhFeIO1SqZdW_7agi2SOUFjHN9ZGkx4_42ebwi1kW0MxB9ri-amVbSVcddRw/photo/AF1QipNRAxQQqxvbqtByq7f3pKTLyTklH9Ez5kXC6WUm?key=ZWFyWE5jREk5RmV5OUdDd2E3VWk5WkUyS1JNckxB</t>
  </si>
  <si>
    <t>TJ-05º Pav.</t>
  </si>
  <si>
    <t>TJ-06º Pav.</t>
  </si>
  <si>
    <t>TJ-07º Pav.</t>
  </si>
  <si>
    <t>TJ-08º Pav.</t>
  </si>
  <si>
    <t>TJ-09º Pav.</t>
  </si>
  <si>
    <t>TJ-10º Pav.</t>
  </si>
  <si>
    <t>TJ-11º Pav.</t>
  </si>
  <si>
    <t>TJ-12º Pav.</t>
  </si>
  <si>
    <t>https://photos.google.com/share/AF1QipMkqfy8MyeTZOVnghTrqZt_1U0k0qC53Wkjzj6EfgAOJeOpmBBOnZTZZJ8aVX1kBg/photo/AF1QipN7A2X36fpvDSXUOoSO2y1hj6NR_VxUF2N9SpwK?key=bXMwOGVQT0poMGp2STVSTVNzdW44WVJ0eFZxQ0RB</t>
  </si>
  <si>
    <t>TJ-13º Pav.</t>
  </si>
  <si>
    <t>TJ.ANX-2º Pav.</t>
  </si>
  <si>
    <t>Sala Elétrica - NORTE</t>
  </si>
  <si>
    <t>NORTE</t>
  </si>
  <si>
    <t>Sala Elétrica - SUL</t>
  </si>
  <si>
    <t>SUL</t>
  </si>
  <si>
    <t>TJ.ANX-SS1</t>
  </si>
  <si>
    <t>TJ.ANX-SS2</t>
  </si>
  <si>
    <t>TJ.ANX-SS3</t>
  </si>
  <si>
    <t>TJ.ANX-Térreo</t>
  </si>
  <si>
    <t>https://myhub.autodesk360.com/ue29d95bb/g/projects/20210514412106331/data/dXJuOmFkc2sud2lwcHJvZDpmcy5mb2xkZXI6Y28ucU04eGNtQzdReXliS0NURmJQYUFTQQ/dXJuOmFkc2sud2lwcHJvZDpkbS5saW5lYWdlOlh4SzhZNFhHVEN5WDNPT29yLUd3WlE/viewer?version=1&amp;commentId=urn:adsk.comments:social.comment:655ec21f86d64b45b2f2d31b25a4e13b&amp;showComments=1&amp;guid=6882be48-6626-5238-d3df-94e9f0a0019d</t>
  </si>
  <si>
    <t>Geral</t>
  </si>
  <si>
    <t>https://photos.google.com/share/AF1QipMp8IwP1oaaM3uZxlFtOvkb9lpx3bxXWYKmZy5pRl7ZdMCEu7RH7rnzo4fFMbH0NA?key=a1ZQWFp2S2R2Vkp1cVRuX3dGTVVXRVJRQm9udUFB</t>
  </si>
  <si>
    <t>Tipos NF</t>
  </si>
  <si>
    <t>Fornecedor</t>
  </si>
  <si>
    <t>Situação Quadro</t>
  </si>
  <si>
    <t>Ar. Cond.</t>
  </si>
  <si>
    <t>Quadros</t>
  </si>
  <si>
    <t>Clavel</t>
  </si>
  <si>
    <t>TJ-Térreo</t>
  </si>
  <si>
    <t>Materiais Elétricos</t>
  </si>
  <si>
    <t>ABT Materiais Elétricos</t>
  </si>
  <si>
    <t>Comunicação</t>
  </si>
  <si>
    <t>Viksul Telecom.</t>
  </si>
  <si>
    <t>Não Instalados</t>
  </si>
  <si>
    <t>Automação</t>
  </si>
  <si>
    <t>Cigame</t>
  </si>
  <si>
    <t>BM Eletro</t>
  </si>
  <si>
    <t>GMD Comercial Elétrica</t>
  </si>
  <si>
    <t>Comercial MW</t>
  </si>
  <si>
    <t>Eletro Gold</t>
  </si>
  <si>
    <t>TJ-14º Pav.</t>
  </si>
  <si>
    <t>TJ-Cobertura</t>
  </si>
  <si>
    <t>Localização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</si>
</sst>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sz val="10.0"/>
      <color theme="1"/>
      <name val="Calibri"/>
    </font>
    <font>
      <b/>
      <u/>
      <sz val="10.0"/>
      <color theme="1"/>
      <name val="Calibri"/>
    </font>
    <font>
      <u/>
      <sz val="9.0"/>
      <color theme="1"/>
      <name val="Calibri"/>
    </font>
    <font>
      <b/>
      <u/>
      <sz val="10.0"/>
      <color theme="1"/>
      <name val="Calibri"/>
    </font>
    <font>
      <u/>
      <sz val="9.0"/>
      <color theme="1"/>
      <name val="Calibri"/>
    </font>
    <font>
      <sz val="11.0"/>
      <color theme="1"/>
      <name val="Calibri"/>
    </font>
    <font>
      <sz val="11.0"/>
      <color rgb="FF0563C1"/>
      <name val="Calibri"/>
    </font>
    <font>
      <sz val="9.0"/>
      <color rgb="FF0563C1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sz val="11.0"/>
      <color rgb="FFFF0000"/>
      <name val="Calibri"/>
    </font>
    <font/>
    <font>
      <b/>
      <sz val="11.0"/>
      <color theme="1"/>
      <name val="Calibri"/>
    </font>
    <font>
      <b/>
      <sz val="9.0"/>
      <color theme="1"/>
      <name val="Arial"/>
    </font>
    <font>
      <b/>
      <color theme="1"/>
      <name val="Calibri"/>
      <scheme val="minor"/>
    </font>
    <font>
      <b/>
      <color theme="4"/>
      <name val="Calibri"/>
      <scheme val="minor"/>
    </font>
    <font>
      <color theme="1"/>
      <name val="Calibri"/>
      <scheme val="minor"/>
    </font>
    <font>
      <u/>
      <color rgb="FF0000FF"/>
      <name val="Roboto"/>
    </font>
    <font>
      <u/>
      <color rgb="FF434343"/>
      <name val="Roboto"/>
    </font>
    <font>
      <b/>
      <u/>
      <sz val="11.0"/>
      <color rgb="FF0000FF"/>
      <name val="Calibri"/>
    </font>
    <font>
      <color theme="1"/>
      <name val="Calibri"/>
    </font>
    <font>
      <sz val="6.0"/>
      <color theme="1"/>
      <name val="Calibri"/>
      <scheme val="minor"/>
    </font>
    <font>
      <b/>
      <u/>
      <sz val="11.0"/>
      <color rgb="FF0000FF"/>
      <name val="Calibri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0F8FF"/>
        <bgColor rgb="FFF0F8FF"/>
      </patternFill>
    </fill>
  </fills>
  <borders count="37">
    <border/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1" fillId="2" fontId="6" numFmtId="0" xfId="0" applyAlignment="1" applyBorder="1" applyFill="1" applyFont="1">
      <alignment horizontal="left" readingOrder="0" shrinkToFit="0" vertical="center" wrapText="0"/>
    </xf>
    <xf borderId="1" fillId="2" fontId="6" numFmtId="49" xfId="0" applyAlignment="1" applyBorder="1" applyFont="1" applyNumberFormat="1">
      <alignment readingOrder="0" shrinkToFit="0" vertical="center" wrapText="0"/>
    </xf>
    <xf borderId="2" fillId="2" fontId="7" numFmtId="0" xfId="0" applyAlignment="1" applyBorder="1" applyFont="1">
      <alignment shrinkToFit="0" vertical="center" wrapText="0"/>
    </xf>
    <xf borderId="2" fillId="2" fontId="6" numFmtId="0" xfId="0" applyAlignment="1" applyBorder="1" applyFont="1">
      <alignment readingOrder="0" shrinkToFit="0" vertical="center" wrapText="0"/>
    </xf>
    <xf borderId="2" fillId="2" fontId="7" numFmtId="0" xfId="0" applyAlignment="1" applyBorder="1" applyFont="1">
      <alignment readingOrder="0" shrinkToFit="0" vertical="center" wrapText="0"/>
    </xf>
    <xf borderId="2" fillId="2" fontId="7" numFmtId="0" xfId="0" applyAlignment="1" applyBorder="1" applyFont="1">
      <alignment readingOrder="0" shrinkToFit="0" vertical="center" wrapText="0"/>
    </xf>
    <xf borderId="2" fillId="2" fontId="8" numFmtId="0" xfId="0" applyAlignment="1" applyBorder="1" applyFont="1">
      <alignment readingOrder="0" shrinkToFit="0" vertical="center" wrapText="0"/>
    </xf>
    <xf borderId="2" fillId="2" fontId="6" numFmtId="0" xfId="0" applyAlignment="1" applyBorder="1" applyFont="1">
      <alignment horizontal="center" shrinkToFit="0" vertical="center" wrapText="0"/>
    </xf>
    <xf borderId="2" fillId="2" fontId="9" numFmtId="0" xfId="0" applyAlignment="1" applyBorder="1" applyFont="1">
      <alignment horizontal="center" shrinkToFit="0" vertical="center" wrapText="0"/>
    </xf>
    <xf borderId="2" fillId="2" fontId="6" numFmtId="0" xfId="0" applyAlignment="1" applyBorder="1" applyFont="1">
      <alignment horizontal="center" readingOrder="0" shrinkToFit="0" vertical="center" wrapText="0"/>
    </xf>
    <xf borderId="2" fillId="2" fontId="10" numFmtId="0" xfId="0" applyAlignment="1" applyBorder="1" applyFont="1">
      <alignment horizontal="center" readingOrder="0" shrinkToFit="0" vertical="center" wrapText="0"/>
    </xf>
    <xf borderId="2" fillId="2" fontId="6" numFmtId="0" xfId="0" applyAlignment="1" applyBorder="1" applyFont="1">
      <alignment readingOrder="0" shrinkToFit="0" vertical="center" wrapText="0"/>
    </xf>
    <xf borderId="2" fillId="2" fontId="6" numFmtId="0" xfId="0" applyAlignment="1" applyBorder="1" applyFont="1">
      <alignment horizontal="left" readingOrder="0" shrinkToFit="0" vertical="center" wrapText="0"/>
    </xf>
    <xf borderId="2" fillId="2" fontId="6" numFmtId="0" xfId="0" applyAlignment="1" applyBorder="1" applyFont="1">
      <alignment horizontal="left" shrinkToFit="0" vertical="center" wrapText="0"/>
    </xf>
    <xf borderId="2" fillId="0" fontId="11" numFmtId="0" xfId="0" applyAlignment="1" applyBorder="1" applyFont="1">
      <alignment horizontal="left" shrinkToFit="0" vertical="center" wrapText="0"/>
    </xf>
    <xf borderId="3" fillId="0" fontId="6" numFmtId="0" xfId="0" applyAlignment="1" applyBorder="1" applyFont="1">
      <alignment horizontal="center"/>
    </xf>
    <xf borderId="4" fillId="0" fontId="6" numFmtId="0" xfId="0" applyBorder="1" applyFont="1"/>
    <xf borderId="0" fillId="0" fontId="6" numFmtId="0" xfId="0" applyFont="1"/>
    <xf borderId="5" fillId="0" fontId="6" numFmtId="0" xfId="0" applyAlignment="1" applyBorder="1" applyFont="1">
      <alignment horizontal="center"/>
    </xf>
    <xf borderId="6" fillId="0" fontId="12" numFmtId="0" xfId="0" applyBorder="1" applyFont="1"/>
    <xf borderId="7" fillId="0" fontId="12" numFmtId="0" xfId="0" applyBorder="1" applyFont="1"/>
    <xf borderId="8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0" fillId="0" fontId="6" numFmtId="9" xfId="0" applyAlignment="1" applyFont="1" applyNumberFormat="1">
      <alignment horizontal="center" vertical="center"/>
    </xf>
    <xf borderId="10" fillId="0" fontId="6" numFmtId="0" xfId="0" applyAlignment="1" applyBorder="1" applyFont="1">
      <alignment horizontal="center"/>
    </xf>
    <xf borderId="11" fillId="0" fontId="6" numFmtId="0" xfId="0" applyAlignment="1" applyBorder="1" applyFont="1">
      <alignment horizontal="center"/>
    </xf>
    <xf borderId="12" fillId="0" fontId="6" numFmtId="0" xfId="0" applyAlignment="1" applyBorder="1" applyFont="1">
      <alignment horizontal="center"/>
    </xf>
    <xf borderId="13" fillId="0" fontId="6" numFmtId="0" xfId="0" applyAlignment="1" applyBorder="1" applyFont="1">
      <alignment horizontal="center"/>
    </xf>
    <xf borderId="14" fillId="0" fontId="6" numFmtId="0" xfId="0" applyAlignment="1" applyBorder="1" applyFont="1">
      <alignment horizontal="center"/>
    </xf>
    <xf borderId="15" fillId="0" fontId="6" numFmtId="0" xfId="0" applyAlignment="1" applyBorder="1" applyFont="1">
      <alignment horizontal="center"/>
    </xf>
    <xf borderId="16" fillId="0" fontId="6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/>
    </xf>
    <xf borderId="21" fillId="0" fontId="6" numFmtId="9" xfId="0" applyAlignment="1" applyBorder="1" applyFont="1" applyNumberFormat="1">
      <alignment horizontal="center"/>
    </xf>
    <xf borderId="22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/>
    </xf>
    <xf borderId="9" fillId="0" fontId="6" numFmtId="0" xfId="0" applyAlignment="1" applyBorder="1" applyFont="1">
      <alignment horizontal="center"/>
    </xf>
    <xf borderId="23" fillId="0" fontId="6" numFmtId="0" xfId="0" applyAlignment="1" applyBorder="1" applyFont="1">
      <alignment horizontal="center"/>
    </xf>
    <xf borderId="24" fillId="0" fontId="6" numFmtId="9" xfId="0" applyAlignment="1" applyBorder="1" applyFont="1" applyNumberFormat="1">
      <alignment horizontal="center"/>
    </xf>
    <xf borderId="18" fillId="0" fontId="6" numFmtId="0" xfId="0" applyAlignment="1" applyBorder="1" applyFont="1">
      <alignment horizontal="center"/>
    </xf>
    <xf borderId="25" fillId="0" fontId="6" numFmtId="9" xfId="0" applyAlignment="1" applyBorder="1" applyFont="1" applyNumberFormat="1">
      <alignment horizontal="center"/>
    </xf>
    <xf borderId="16" fillId="0" fontId="6" numFmtId="0" xfId="0" applyAlignment="1" applyBorder="1" applyFont="1">
      <alignment horizontal="center"/>
    </xf>
    <xf borderId="17" fillId="0" fontId="6" numFmtId="9" xfId="0" applyAlignment="1" applyBorder="1" applyFont="1" applyNumberFormat="1">
      <alignment horizontal="center"/>
    </xf>
    <xf borderId="26" fillId="0" fontId="6" numFmtId="0" xfId="0" applyAlignment="1" applyBorder="1" applyFont="1">
      <alignment horizontal="center" vertical="center"/>
    </xf>
    <xf borderId="27" fillId="0" fontId="6" numFmtId="0" xfId="0" applyAlignment="1" applyBorder="1" applyFont="1">
      <alignment horizontal="center" vertical="center"/>
    </xf>
    <xf borderId="28" fillId="0" fontId="6" numFmtId="0" xfId="0" applyAlignment="1" applyBorder="1" applyFont="1">
      <alignment horizontal="center"/>
    </xf>
    <xf borderId="29" fillId="0" fontId="6" numFmtId="9" xfId="0" applyAlignment="1" applyBorder="1" applyFont="1" applyNumberFormat="1">
      <alignment horizontal="center"/>
    </xf>
    <xf borderId="30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31" fillId="0" fontId="6" numFmtId="0" xfId="0" applyAlignment="1" applyBorder="1" applyFont="1">
      <alignment horizontal="center"/>
    </xf>
    <xf borderId="32" fillId="0" fontId="6" numFmtId="0" xfId="0" applyAlignment="1" applyBorder="1" applyFont="1">
      <alignment horizontal="center"/>
    </xf>
    <xf borderId="33" fillId="0" fontId="6" numFmtId="9" xfId="0" applyAlignment="1" applyBorder="1" applyFont="1" applyNumberFormat="1">
      <alignment horizontal="center"/>
    </xf>
    <xf borderId="26" fillId="0" fontId="6" numFmtId="0" xfId="0" applyAlignment="1" applyBorder="1" applyFont="1">
      <alignment horizontal="center"/>
    </xf>
    <xf borderId="27" fillId="0" fontId="6" numFmtId="9" xfId="0" applyAlignment="1" applyBorder="1" applyFont="1" applyNumberFormat="1">
      <alignment horizontal="center"/>
    </xf>
    <xf borderId="6" fillId="0" fontId="6" numFmtId="0" xfId="0" applyAlignment="1" applyBorder="1" applyFont="1">
      <alignment horizontal="center"/>
    </xf>
    <xf borderId="7" fillId="0" fontId="6" numFmtId="9" xfId="0" applyAlignment="1" applyBorder="1" applyFont="1" applyNumberFormat="1">
      <alignment horizontal="center"/>
    </xf>
    <xf borderId="5" fillId="0" fontId="13" numFmtId="0" xfId="0" applyAlignment="1" applyBorder="1" applyFont="1">
      <alignment horizontal="center"/>
    </xf>
    <xf borderId="5" fillId="0" fontId="6" numFmtId="0" xfId="0" applyBorder="1" applyFont="1"/>
    <xf borderId="10" fillId="0" fontId="13" numFmtId="14" xfId="0" applyAlignment="1" applyBorder="1" applyFont="1" applyNumberFormat="1">
      <alignment horizontal="center" vertical="center"/>
    </xf>
    <xf borderId="5" fillId="0" fontId="14" numFmtId="0" xfId="0" applyAlignment="1" applyBorder="1" applyFont="1">
      <alignment horizontal="center"/>
    </xf>
    <xf borderId="31" fillId="0" fontId="12" numFmtId="0" xfId="0" applyBorder="1" applyFont="1"/>
    <xf borderId="34" fillId="0" fontId="6" numFmtId="0" xfId="0" applyAlignment="1" applyBorder="1" applyFont="1">
      <alignment horizontal="center"/>
    </xf>
    <xf borderId="35" fillId="0" fontId="12" numFmtId="0" xfId="0" applyBorder="1" applyFont="1"/>
    <xf borderId="36" fillId="0" fontId="12" numFmtId="0" xfId="0" applyBorder="1" applyFont="1"/>
    <xf borderId="23" fillId="0" fontId="13" numFmtId="0" xfId="0" applyAlignment="1" applyBorder="1" applyFont="1">
      <alignment horizontal="center"/>
    </xf>
    <xf borderId="0" fillId="0" fontId="13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readingOrder="0" shrinkToFit="0" wrapText="0"/>
    </xf>
    <xf borderId="0" fillId="0" fontId="13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3" fontId="16" numFmtId="0" xfId="0" applyAlignment="1" applyFill="1" applyFont="1">
      <alignment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3" fontId="17" numFmtId="0" xfId="0" applyAlignment="1" applyFont="1">
      <alignment readingOrder="0" shrinkToFit="0" vertical="center" wrapText="0"/>
    </xf>
    <xf borderId="0" fillId="3" fontId="17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shrinkToFit="0" vertical="center" wrapText="0"/>
    </xf>
    <xf borderId="0" fillId="3" fontId="17" numFmtId="0" xfId="0" applyAlignment="1" applyFon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7" numFmtId="0" xfId="0" applyAlignment="1" applyFont="1">
      <alignment shrinkToFit="0" vertical="center" wrapText="0"/>
    </xf>
    <xf borderId="0" fillId="0" fontId="20" numFmtId="0" xfId="0" applyAlignment="1" applyFont="1">
      <alignment readingOrder="0" vertical="bottom"/>
    </xf>
    <xf borderId="0" fillId="0" fontId="15" numFmtId="0" xfId="0" applyFont="1"/>
    <xf borderId="0" fillId="0" fontId="13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21" numFmtId="0" xfId="0" applyFont="1"/>
    <xf borderId="0" fillId="0" fontId="22" numFmtId="0" xfId="0" applyFont="1"/>
    <xf borderId="22" fillId="0" fontId="23" numFmtId="0" xfId="0" applyAlignment="1" applyBorder="1" applyFont="1">
      <alignment readingOrder="0" vertical="bottom"/>
    </xf>
    <xf borderId="0" fillId="0" fontId="17" numFmtId="0" xfId="0" applyFont="1"/>
    <xf borderId="0" fillId="0" fontId="24" numFmtId="0" xfId="0" applyFont="1"/>
    <xf borderId="0" fillId="0" fontId="17" numFmtId="49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Lev.Quadr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calizaçã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'RELATÓRIO'!$B$8:$B$10</c:f>
            </c:strRef>
          </c:cat>
          <c:val>
            <c:numRef>
              <c:f>'RELATÓRIO'!$C$8:$C$10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'RELATÓRIO'!$H$8:$H$10</c:f>
            </c:strRef>
          </c:cat>
          <c:val>
            <c:numRef>
              <c:f>'RELATÓRIO'!$I$8:$I$10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'RELATÓRIO'!$B$31:$B$33</c:f>
            </c:strRef>
          </c:cat>
          <c:val>
            <c:numRef>
              <c:f>'RELATÓRIO'!$C$31:$C$33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'RELATÓRIO'!$B$31:$B$33</c:f>
            </c:strRef>
          </c:cat>
          <c:val>
            <c:numRef>
              <c:f>'RELATÓRIO'!$C$31:$C$33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12</xdr:row>
      <xdr:rowOff>9525</xdr:rowOff>
    </xdr:from>
    <xdr:ext cx="3438525" cy="29146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533400</xdr:colOff>
      <xdr:row>12</xdr:row>
      <xdr:rowOff>28575</xdr:rowOff>
    </xdr:from>
    <xdr:ext cx="2990850" cy="29241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</xdr:colOff>
      <xdr:row>33</xdr:row>
      <xdr:rowOff>171450</xdr:rowOff>
    </xdr:from>
    <xdr:ext cx="3429000" cy="29337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28575</xdr:colOff>
      <xdr:row>34</xdr:row>
      <xdr:rowOff>0</xdr:rowOff>
    </xdr:from>
    <xdr:ext cx="2990850" cy="29146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94345125" cy="12639675"/>
    <xdr:pic>
      <xdr:nvPicPr>
        <xdr:cNvPr id="1465770158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V39" sheet="Lev.Quadros"/>
  </cacheSource>
  <cacheFields>
    <cacheField name="Concat." numFmtId="0">
      <sharedItems>
        <s v="TJ-04º Pav.-Sala Elétrica E2-3QD-E3"/>
        <s v="TJ-04º Pav.-Sala Elétrica E3-"/>
        <s v="TJ-04º Pav.-Sala Elétrica W2-"/>
        <s v="TJ-04º Pav.-Sala Elétrica W3-"/>
        <s v="TJ-12º Pav.-Sala Elétrica E2-QDEC-12E2"/>
        <s v="TJ-12º Pav.-Sala Elétrica E2-QDEE-12E2"/>
        <s v="TJ-12º Pav.-Sala Elétrica E2-QDI-12E2"/>
        <s v="TJ-12º Pav.-Sala Elétrica E3-QDEC-12E3"/>
        <s v="TJ-12º Pav.-Sala Elétrica E3-QDEC-13E3"/>
        <s v="TJ-12º Pav.-Sala Elétrica E3-QDEE-12E3"/>
        <s v="TJ-12º Pav.-Sala Elétrica E3-QDI-12E3"/>
        <s v="TJ-12º Pav.-Sala Elétrica W2-QDEC-12W2"/>
        <s v="TJ-12º Pav.-Sala Elétrica W2-QDEE-12W2"/>
        <s v="TJ-12º Pav.-Sala Elétrica W2-QDI-12W2"/>
        <s v="TJ-12º Pav.-Sala Elétrica W3-QDEC-12W3"/>
        <s v="TJ-12º Pav.-Sala Elétrica W3-QDEE-12W3"/>
        <s v="TJ-12º Pav.-Sala Elétrica W3-QDI-12W3"/>
        <s v="TJ-13º Pav.-Sala Elétrica E3-QDEE-13E3"/>
        <s v="TJ-13º Pav.-Sala Elétrica E3-QDI-13E3"/>
        <s v="TJ-13º Pav.-Sala Elétrica W3-QDEC-13W3"/>
        <s v="TJ-13º Pav.-Sala Elétrica W3-QDEE-13W3"/>
        <s v="TJ-13º Pav.-Sala Elétrica W3-QDI-13W3"/>
        <s v="TJ.ANX-Térreo--Quadro CD-C1SS1.pdf"/>
        <s v="TJ.ANX-Térreo--Quadro CD-C1SS2.pdf"/>
        <s v="TJ.ANX-Térreo--Quadro CD-C2P1.pdf"/>
        <s v="TJ.ANX-Térreo--Quadro CD-C2P2.pdf"/>
        <s v="TJ.ANX-Térreo--Quadro CD-C2SS1.pdf"/>
        <s v="TJ.ANX-Térreo--Quadro CD-C2SS2.pdf"/>
        <s v="TJ.ANX-Térreo--Quadro CD-C3SS1.pdf"/>
        <s v="TJ.ANX-Térreo--Quadro CD-C3SS2.pdf"/>
        <s v="TJ.ANX-Térreo--Quadro CD-CTE1.pdf"/>
        <s v="TJ.ANX-Térreo--Quadro CD-CTE2.pdf"/>
        <s v="TJ.ANX-Térreo--Quadro CD-ETE1.pdf"/>
        <s v="TJ.ANX-Térreo--Quadro CD-ETE2.pdf"/>
        <s v="TJ.ANX-Térreo--Quadro QG-ESTAC-NORTE.pdf"/>
        <s v="TJ.ANX-Térreo--Quadro QG-ESTAC-SUL.pdf"/>
      </sharedItems>
    </cacheField>
    <cacheField name="DESCRIÇÃO" numFmtId="0">
      <sharedItems containsBlank="1">
        <s v="3QD-E3"/>
        <m/>
        <s v="QDEC-12E2"/>
        <s v="QDEE-12E2"/>
        <s v="QDI-12E2"/>
        <s v="QDEC-12E3"/>
        <s v="QDEC-13E3"/>
        <s v="QDEE-12E3"/>
        <s v="QDI-12E3"/>
        <s v="QDEC-12W2"/>
        <s v="QDEE-12W2"/>
        <s v="QDI-12W2"/>
        <s v="QDEC-12W3"/>
        <s v="QDEE-12W3"/>
        <s v="QDI-12W3"/>
        <s v="QDEE-13E3"/>
        <s v="QDI-13E3"/>
        <s v="QDEC-13W3"/>
        <s v="QDEE-13W3"/>
        <s v="QDI-13W3"/>
        <s v="Quadro CD-C1SS1.pdf"/>
        <s v="Quadro CD-C1SS2.pdf"/>
        <s v="Quadro CD-C2P1.pdf"/>
        <s v="Quadro CD-C2P2.pdf"/>
        <s v="Quadro CD-C2SS1.pdf"/>
        <s v="Quadro CD-C2SS2.pdf"/>
        <s v="Quadro CD-C3SS1.pdf"/>
        <s v="Quadro CD-C3SS2.pdf"/>
        <s v="Quadro CD-CTE1.pdf"/>
        <s v="Quadro CD-CTE2.pdf"/>
        <s v="Quadro CD-ETE1.pdf"/>
        <s v="Quadro CD-ETE2.pdf"/>
        <s v="Quadro QG-ESTAC-NORTE.pdf"/>
        <s v="Quadro QG-ESTAC-SUL.pdf"/>
      </sharedItems>
    </cacheField>
    <cacheField name="Nova TAG" numFmtId="49">
      <sharedItems containsBlank="1">
        <s v="QDEC-12E3"/>
        <s v="QDEC-13E3"/>
        <s v="QDEE-12E3"/>
        <s v="QDI-12E3"/>
        <m/>
      </sharedItems>
    </cacheField>
    <cacheField name="PAI" numFmtId="0">
      <sharedItems containsString="0" containsBlank="1">
        <m/>
      </sharedItems>
    </cacheField>
    <cacheField name="PAVIMENTO" numFmtId="0">
      <sharedItems>
        <s v="4º Pav."/>
        <s v="12º Pav."/>
        <s v="13º Pav."/>
        <s v="Térro"/>
      </sharedItems>
    </cacheField>
    <cacheField name="SISTEMA" numFmtId="0">
      <sharedItems>
        <s v="Elétrica"/>
      </sharedItems>
    </cacheField>
    <cacheField name="SITUAÇÃO" numFmtId="0">
      <sharedItems>
        <s v="Existente"/>
        <s v="Novo"/>
      </sharedItems>
    </cacheField>
    <cacheField name="LOCAL" numFmtId="0">
      <sharedItems>
        <s v="TJ-04º Pav.-Sala Elétrica E2"/>
        <s v="TJ-04º Pav.-Sala Elétrica E3"/>
        <s v="TJ-04º Pav.-Sala Elétrica W2"/>
        <s v="TJ-04º Pav.-Sala Elétrica W3"/>
        <s v="TJ-12º Pav.-Sala Elétrica E2"/>
        <s v="TJ-12º Pav.-Sala Elétrica E3"/>
        <s v="TJ-12º Pav.-Sala Elétrica W2"/>
        <s v="TJ-12º Pav.-Sala Elétrica W3"/>
        <s v="TJ-13º Pav.-Sala Elétrica E3"/>
        <s v="TJ-13º Pav.-Sala Elétrica W3"/>
        <s v="TJ.ANX-Térreo-"/>
      </sharedItems>
    </cacheField>
    <cacheField name="&lt;=Link" numFmtId="0">
      <sharedItems containsString="0" containsBlank="1">
        <m/>
      </sharedItems>
    </cacheField>
    <cacheField name="Foto360" numFmtId="0">
      <sharedItems>
        <s v="&lt;=Link"/>
      </sharedItems>
    </cacheField>
    <cacheField name="Proj. Quadros" numFmtId="0">
      <sharedItems containsString="0" containsBlank="1">
        <m/>
      </sharedItems>
    </cacheField>
    <cacheField name="Projetos Quadros Executivos" numFmtId="0">
      <sharedItems containsBlank="1">
        <m/>
        <s v="08421 - QDEC-12E2.pdf"/>
        <s v="09021 - QDEE-12E2.pdf"/>
        <s v="07821 - QDI-12E2.pdf"/>
        <s v="08521 - QDEC-12E3.pdf"/>
        <s v="08921 - QDEC-13E3.pdf"/>
        <s v="09521 - QDEE-12E3.pdf"/>
        <s v="08021 - QDI-12E3.pdf"/>
        <s v="08621 - QDEC-12W2.pdf"/>
        <s v="09121 - QDEE-12W2.pdf"/>
        <s v="08121 - QDI-12W2.pdf"/>
        <s v="08721 - QDEC-12W3.pdf"/>
        <s v="09321 - QDEE-12W3.pdf"/>
        <s v="07921 - QDI-12W3.pdf"/>
        <s v="09421 - QDEE-13E3.pdf"/>
        <s v="08221 - QDI-13E3.pdf"/>
        <s v="08821 - QDEC-13W3.pdf"/>
        <s v="09221 - QDEE-13W3.pdf"/>
        <s v="08321 - QDI-13W3.pdf"/>
      </sharedItems>
    </cacheField>
    <cacheField name="Pin." numFmtId="0">
      <sharedItems containsString="0" containsBlank="1">
        <m/>
      </sharedItems>
    </cacheField>
    <cacheField name="Foto.Quadro" numFmtId="0">
      <sharedItems containsString="0" containsBlank="1">
        <m/>
      </sharedItems>
    </cacheField>
    <cacheField name="TIPO" numFmtId="0">
      <sharedItems containsString="0" containsBlank="1">
        <m/>
      </sharedItems>
    </cacheField>
    <cacheField name="OBS:" numFmtId="0">
      <sharedItems containsString="0" containsBlank="1">
        <m/>
      </sharedItems>
    </cacheField>
    <cacheField name="id" numFmtId="0">
      <sharedItems containsString="0" containsBlank="1">
        <m/>
      </sharedItems>
    </cacheField>
    <cacheField name="x_planta" numFmtId="0">
      <sharedItems containsString="0" containsBlank="1" containsNumber="1" containsInteger="1">
        <m/>
        <n v="120.0"/>
      </sharedItems>
    </cacheField>
    <cacheField name="y_planta" numFmtId="0">
      <sharedItems containsString="0" containsBlank="1" containsNumber="1" containsInteger="1">
        <m/>
        <n v="120.0"/>
      </sharedItems>
    </cacheField>
    <cacheField name="x_3d" numFmtId="0">
      <sharedItems containsString="0" containsBlank="1" containsNumber="1" containsInteger="1">
        <m/>
        <n v="-4.0"/>
        <n v="-2.0"/>
        <n v="-1.0"/>
        <n v="-8.0"/>
        <n v="-5.0"/>
      </sharedItems>
    </cacheField>
    <cacheField name="y_3d" numFmtId="0">
      <sharedItems containsString="0" containsBlank="1" containsNumber="1" containsInteger="1">
        <m/>
        <n v="3.0"/>
        <n v="5.0"/>
        <n v="2.0"/>
      </sharedItems>
    </cacheField>
    <cacheField name="z_3d" numFmtId="0">
      <sharedItems containsString="0" containsBlank="1" containsNumber="1" containsInteger="1">
        <m/>
        <n v="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WEB_3D" cacheId="0" dataCaption="" rowGrandTotals="0" compact="0" compactData="0">
  <location ref="A1:G37" firstHeaderRow="0" firstDataRow="6" firstDataCol="0"/>
  <pivotFields>
    <pivotField name="Concat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DESCRIÇÃO" axis="axisRow" compact="0" outline="0" multipleItemSelectionAllowed="1" showAll="0" sortType="ascending" defaultSubtotal="0">
      <items>
        <item x="1"/>
        <item x="0"/>
        <item x="2"/>
        <item x="5"/>
        <item x="9"/>
        <item x="12"/>
        <item x="6"/>
        <item x="17"/>
        <item x="3"/>
        <item x="7"/>
        <item x="10"/>
        <item x="13"/>
        <item x="15"/>
        <item x="18"/>
        <item x="4"/>
        <item x="8"/>
        <item x="11"/>
        <item x="14"/>
        <item x="16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name="Nova TAG" axis="axisRow" compact="0" numFmtId="49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I" compact="0" outline="0" multipleItemSelectionAllowed="1" showAll="0">
      <items>
        <item x="0"/>
        <item t="default"/>
      </items>
    </pivotField>
    <pivotField name="PAVIMENTO" axis="axisRow" compact="0" outline="0" multipleItemSelectionAllowed="1" showAll="0" sortType="ascending" defaultSubtotal="0">
      <items>
        <item x="1"/>
        <item x="2"/>
        <item x="0"/>
        <item x="3"/>
      </items>
    </pivotField>
    <pivotField name="SISTEMA" compact="0" outline="0" multipleItemSelectionAllowed="1" showAll="0">
      <items>
        <item x="0"/>
        <item t="default"/>
      </items>
    </pivotField>
    <pivotField name="SITUAÇÃO" axis="axisRow" compact="0" outline="0" multipleItemSelectionAllowed="1" showAll="0" sortType="ascending" defaultSubtotal="0">
      <items>
        <item x="0"/>
        <item x="1"/>
      </items>
    </pivotField>
    <pivotField name="LOCAL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&lt;=Link" compact="0" outline="0" multipleItemSelectionAllowed="1" showAll="0">
      <items>
        <item x="0"/>
        <item t="default"/>
      </items>
    </pivotField>
    <pivotField name="Foto360" compact="0" outline="0" multipleItemSelectionAllowed="1" showAll="0">
      <items>
        <item x="0"/>
        <item t="default"/>
      </items>
    </pivotField>
    <pivotField name="Proj. Quadros" compact="0" outline="0" multipleItemSelectionAllowed="1" showAll="0">
      <items>
        <item x="0"/>
        <item t="default"/>
      </items>
    </pivotField>
    <pivotField name="Projetos Quadros Executiv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in." compact="0" outline="0" multipleItemSelectionAllowed="1" showAll="0">
      <items>
        <item x="0"/>
        <item t="default"/>
      </items>
    </pivotField>
    <pivotField name="Foto.Quadro" compact="0" outline="0" multipleItemSelectionAllowed="1" showAll="0">
      <items>
        <item x="0"/>
        <item t="default"/>
      </items>
    </pivotField>
    <pivotField name="TIPO" axis="axisRow" compact="0" outline="0" multipleItemSelectionAllowed="1" showAll="0" sortType="ascending">
      <items>
        <item x="0"/>
        <item t="default"/>
      </items>
    </pivotField>
    <pivotField name="OBS:" compact="0" outline="0" multipleItemSelectionAllowed="1" showAll="0">
      <items>
        <item x="0"/>
        <item t="default"/>
      </items>
    </pivotField>
    <pivotField name="id" compact="0" outline="0" multipleItemSelectionAllowed="1" showAll="0">
      <items>
        <item x="0"/>
        <item t="default"/>
      </items>
    </pivotField>
    <pivotField name="x_planta" compact="0" outline="0" multipleItemSelectionAllowed="1" showAll="0">
      <items>
        <item x="0"/>
        <item x="1"/>
        <item t="default"/>
      </items>
    </pivotField>
    <pivotField name="y_planta" compact="0" outline="0" multipleItemSelectionAllowed="1" showAll="0">
      <items>
        <item x="0"/>
        <item x="1"/>
        <item t="default"/>
      </items>
    </pivotField>
    <pivotField name="x_3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y_3d" compact="0" outline="0" multipleItemSelectionAllowed="1" showAll="0">
      <items>
        <item x="0"/>
        <item x="1"/>
        <item x="2"/>
        <item x="3"/>
        <item t="default"/>
      </items>
    </pivotField>
    <pivotField name="z_3d" compact="0" outline="0" multipleItemSelectionAllowed="1" showAll="0">
      <items>
        <item x="0"/>
        <item x="1"/>
        <item t="default"/>
      </items>
    </pivotField>
  </pivotFields>
  <rowFields>
    <field x="2"/>
    <field x="1"/>
    <field x="4"/>
    <field x="7"/>
    <field x="6"/>
    <field x="14"/>
  </rowFields>
</pivotTableDefinition>
</file>

<file path=xl/tables/table1.xml><?xml version="1.0" encoding="utf-8"?>
<table xmlns="http://schemas.openxmlformats.org/spreadsheetml/2006/main" ref="A2:V39" displayName="Quadros_Eletricos_TJRS" name="Quadros_Eletricos_TJRS" id="1">
  <autoFilter ref="$A$2:$V$39"/>
  <tableColumns count="22">
    <tableColumn name="Concat." id="1"/>
    <tableColumn name="DESCRIÇÃO" id="2"/>
    <tableColumn name="Nova TAG" id="3"/>
    <tableColumn name="PAI" id="4"/>
    <tableColumn name="PAVIMENTO" id="5"/>
    <tableColumn name="SISTEMA" id="6"/>
    <tableColumn name="SITUAÇÃO" id="7"/>
    <tableColumn name="LOCAL" id="8"/>
    <tableColumn name="&lt;=Link" id="9"/>
    <tableColumn name="Foto360" id="10"/>
    <tableColumn name="Proj. Quadros" id="11"/>
    <tableColumn name="Projetos Quadros Executivos" id="12"/>
    <tableColumn name="Pin." id="13"/>
    <tableColumn name="Foto.Quadro" id="14"/>
    <tableColumn name="TIPO" id="15"/>
    <tableColumn name="OBS:" id="16"/>
    <tableColumn name="id" id="17"/>
    <tableColumn name="x_planta" id="18"/>
    <tableColumn name="y_planta" id="19"/>
    <tableColumn name="x_3d" id="20"/>
    <tableColumn name="y_3d" id="21"/>
    <tableColumn name="z_3d" id="22"/>
  </tableColumns>
  <tableStyleInfo name="Lev.Quadros-style" showColumnStripes="0" showFirstColumn="1" showLastColumn="1" showRowStripes="1"/>
</table>
</file>

<file path=xl/tables/table2.xml><?xml version="1.0" encoding="utf-8"?>
<table xmlns="http://schemas.openxmlformats.org/spreadsheetml/2006/main" ref="A2:K117" displayName="Local" name="Local" id="2">
  <autoFilter ref="$A$2:$K$117"/>
  <tableColumns count="11">
    <tableColumn name="NomeConc." id="1"/>
    <tableColumn name="Pavimento" id="2"/>
    <tableColumn name="2ºPav." id="3"/>
    <tableColumn name="Parent" id="4"/>
    <tableColumn name="Setor" id="5"/>
    <tableColumn name="Pin" id="6"/>
    <tableColumn name="Link" id="7"/>
    <tableColumn name="Tipo" id="8"/>
    <tableColumn name="Foto360º" id="9"/>
    <tableColumn name="Porta" id="10"/>
    <tableColumn name="Observações" id="11"/>
  </tableColumns>
  <tableStyleInfo name="Localizaçã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LQNfbFq0rXVtsTv40czO-iVMiiwR0vT_/view?usp=sharing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hotos.google.com/album/AF1QipNJAaZMyYxPFzC78T6Y7KRZc2jtSwC35HdfZPQd/photo/AF1QipOAs8tp3if3M89jdYr1XG_Uwgur02SOwXk4o86D" TargetMode="External"/><Relationship Id="rId2" Type="http://schemas.openxmlformats.org/officeDocument/2006/relationships/hyperlink" Target="https://photos.google.com/share/AF1QipPeNmAmLKZb5OwnD_ZCxO-oLVMAaoDVbiZEgKo9SEIldj0JatgswpGx7D4QwNtplg/photo/AF1QipMggUmuaHkE6oLyGCiZ7QFPzYEN7StmiaMinBbh?key=R1RyWjFkWDNIV2VlUXkzb0VuT0FyVHFWRkl1emZR" TargetMode="External"/><Relationship Id="rId3" Type="http://schemas.openxmlformats.org/officeDocument/2006/relationships/hyperlink" Target="https://photos.google.com/share/AF1QipOnxf0N19-SZoS0Yl0rS2KEgiBhevFZsrpr3uxkiLbBc-_-gXbdKKkerkfeefm6Ow/photo/AF1QipMMGGE-7efE0wnGXWwej2s_BXDtjVJhOShdfeKD?key=VmVLUnFTZVZGeV85R0YtUlEyQmNEXzdRamNxZWVB" TargetMode="External"/><Relationship Id="rId4" Type="http://schemas.openxmlformats.org/officeDocument/2006/relationships/hyperlink" Target="https://photos.google.com/share/AF1QipNVRUxhFeIO1SqZdW_7agi2SOUFjHN9ZGkx4_42ebwi1kW0MxB9ri-amVbSVcddRw/photo/AF1QipNRAxQQqxvbqtByq7f3pKTLyTklH9Ez5kXC6WUm?key=ZWFyWE5jREk5RmV5OUdDd2E3VWk5WkUyS1JNckxB" TargetMode="External"/><Relationship Id="rId5" Type="http://schemas.openxmlformats.org/officeDocument/2006/relationships/hyperlink" Target="https://photos.google.com/share/AF1QipMkqfy8MyeTZOVnghTrqZt_1U0k0qC53Wkjzj6EfgAOJeOpmBBOnZTZZJ8aVX1kBg/photo/AF1QipN7A2X36fpvDSXUOoSO2y1hj6NR_VxUF2N9SpwK?key=bXMwOGVQT0poMGp2STVSTVNzdW44WVJ0eFZxQ0RB" TargetMode="External"/><Relationship Id="rId6" Type="http://schemas.openxmlformats.org/officeDocument/2006/relationships/drawing" Target="../drawings/drawing4.xml"/><Relationship Id="rId8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c9c9dd7c9f164efda0a4661e234f2e84&amp;showComments=1&amp;guid=6882be48-6626-5238-d3df-94e9f0a0019d" TargetMode="External"/><Relationship Id="rId194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78ba8dd35681408aad95c90999d4302a&amp;showComments=1&amp;guid=6882be48-6626-5238-d3df-94e9f0a0019d" TargetMode="External"/><Relationship Id="rId193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78ba8dd35681408aad95c90999d4302a&amp;showComments=1&amp;guid=6882be48-6626-5238-d3df-94e9f0a0019d" TargetMode="External"/><Relationship Id="rId192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aa60f964cade46adaf76b3657caed2c8&amp;showComments=1&amp;guid=6882be48-6626-5238-d3df-94e9f0a0019d" TargetMode="External"/><Relationship Id="rId191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aa60f964cade46adaf76b3657caed2c8&amp;showComments=1&amp;guid=6882be48-6626-5238-d3df-94e9f0a0019d" TargetMode="External"/><Relationship Id="rId187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f4469f4485394ab680150eb5d162df48&amp;showComments=1&amp;guid=6882be48-6626-5238-d3df-94e9f0a0019d" TargetMode="External"/><Relationship Id="rId186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63f33d458fb94158a8d3541daa61d009&amp;showComments=1&amp;guid=6882be48-6626-5238-d3df-94e9f0a0019d" TargetMode="External"/><Relationship Id="rId185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63f33d458fb94158a8d3541daa61d009&amp;showComments=1&amp;guid=6882be48-6626-5238-d3df-94e9f0a0019d" TargetMode="External"/><Relationship Id="rId184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141cc1adbf2942a385c5044a06f530bd&amp;showComments=1&amp;guid=6882be48-6626-5238-d3df-94e9f0a0019d" TargetMode="External"/><Relationship Id="rId189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c9c9dd7c9f164efda0a4661e234f2e84&amp;showComments=1&amp;guid=6882be48-6626-5238-d3df-94e9f0a0019d" TargetMode="External"/><Relationship Id="rId188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f4469f4485394ab680150eb5d162df48&amp;showComments=1&amp;guid=6882be48-6626-5238-d3df-94e9f0a0019d" TargetMode="External"/><Relationship Id="rId183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141cc1adbf2942a385c5044a06f530bd&amp;showComments=1&amp;guid=6882be48-6626-5238-d3df-94e9f0a0019d" TargetMode="External"/><Relationship Id="rId182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1af52018a5de4fbb82897399edb77179&amp;showComments=1&amp;guid=6882be48-6626-5238-d3df-94e9f0a0019d" TargetMode="External"/><Relationship Id="rId181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1af52018a5de4fbb82897399edb77179&amp;showComments=1&amp;guid=6882be48-6626-5238-d3df-94e9f0a0019d" TargetMode="External"/><Relationship Id="rId180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c4f5413f07484eba9f871ddb7639af09&amp;showComments=1&amp;guid=6882be48-6626-5238-d3df-94e9f0a0019d" TargetMode="External"/><Relationship Id="rId176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5bceac155e664c69a4705a27e4421c5d&amp;showComments=1&amp;guid=6882be48-6626-5238-d3df-94e9f0a0019d" TargetMode="External"/><Relationship Id="rId175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5bceac155e664c69a4705a27e4421c5d&amp;showComments=1&amp;guid=6882be48-6626-5238-d3df-94e9f0a0019d" TargetMode="External"/><Relationship Id="rId174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26ac35f65b8f4d7c883cffed1d160157&amp;showComments=1&amp;guid=6882be48-6626-5238-d3df-94e9f0a0019d" TargetMode="External"/><Relationship Id="rId173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26ac35f65b8f4d7c883cffed1d160157&amp;showComments=1&amp;guid=6882be48-6626-5238-d3df-94e9f0a0019d" TargetMode="External"/><Relationship Id="rId179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c4f5413f07484eba9f871ddb7639af09&amp;showComments=1&amp;guid=6882be48-6626-5238-d3df-94e9f0a0019d" TargetMode="External"/><Relationship Id="rId178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71827795bf334ea985a6ad52c268b208&amp;showComments=1&amp;guid=6882be48-6626-5238-d3df-94e9f0a0019d" TargetMode="External"/><Relationship Id="rId177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71827795bf334ea985a6ad52c268b208&amp;showComments=1&amp;guid=6882be48-6626-5238-d3df-94e9f0a0019d" TargetMode="External"/><Relationship Id="rId198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d35d72a04b6f41339afbeec830556db5&amp;showComments=1&amp;guid=6882be48-6626-5238-d3df-94e9f0a0019d" TargetMode="External"/><Relationship Id="rId197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d35d72a04b6f41339afbeec830556db5&amp;showComments=1&amp;guid=6882be48-6626-5238-d3df-94e9f0a0019d" TargetMode="External"/><Relationship Id="rId196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4893ba2ef62842cab2405e17a759b047&amp;showComments=1&amp;guid=6882be48-6626-5238-d3df-94e9f0a0019d" TargetMode="External"/><Relationship Id="rId195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4893ba2ef62842cab2405e17a759b047&amp;showComments=1&amp;guid=6882be48-6626-5238-d3df-94e9f0a0019d" TargetMode="External"/><Relationship Id="rId199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71c034f6ba2d41aea687092d6ca80a0c&amp;showComments=1&amp;guid=6882be48-6626-5238-d3df-94e9f0a0019d" TargetMode="External"/><Relationship Id="rId150" Type="http://schemas.openxmlformats.org/officeDocument/2006/relationships/hyperlink" Target="https://photos.google.com/share/AF1QipML0pWaQlOe1-_s-Gu07eMJ5zObBNQFRrubYjOecjXfQVywkl0xcU2A247KA8FVDQ?key=QVZpdEx6Yno1c29CMlM4QUlaSHpDS2hLdlAzeFRn" TargetMode="External"/><Relationship Id="rId392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5f90248859024b81b0d36b3cb84a2c0a&amp;showComments=1&amp;guid=6882be48-6626-5238-d3df-94e9f0a0019d" TargetMode="External"/><Relationship Id="rId391" Type="http://schemas.openxmlformats.org/officeDocument/2006/relationships/hyperlink" Target="https://photos.google.com/search/4%C2%BAPav.-Sanit%C3%A1rio%20P%C3%BAblico%20PCD%20Feminino%20-%20Banho" TargetMode="External"/><Relationship Id="rId390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58bc8a172b6b4bae9fa095c1770ba4ed&amp;showComments=1&amp;guid=6882be48-6626-5238-d3df-94e9f0a0019d" TargetMode="External"/><Relationship Id="rId1" Type="http://schemas.openxmlformats.org/officeDocument/2006/relationships/hyperlink" Target="https://docs.google.com/spreadsheets/d/1PxkT-WtVeT7ZFXR4Z2e0WbSkqxChNhH4aDbJSxmkwOA/edit" TargetMode="External"/><Relationship Id="rId2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655ec21f86d64b45b2f2d31b25a4e13b&amp;showComments=1&amp;guid=6882be48-6626-5238-d3df-94e9f0a0019d" TargetMode="External"/><Relationship Id="rId3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655ec21f86d64b45b2f2d31b25a4e13b&amp;showComments=1&amp;guid=6882be48-6626-5238-d3df-94e9f0a0019d" TargetMode="External"/><Relationship Id="rId149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showComments=1&amp;guid=6882be48-6626-5238-d3df-94e9f0a0019d" TargetMode="External"/><Relationship Id="rId4" Type="http://schemas.openxmlformats.org/officeDocument/2006/relationships/hyperlink" Target="https://photos.google.com/share/AF1QipMp8IwP1oaaM3uZxlFtOvkb9lpx3bxXWYKmZy5pRl7ZdMCEu7RH7rnzo4fFMbH0NA?key=a1ZQWFp2S2R2Vkp1cVRuX3dGTVVXRVJRQm9udUFB" TargetMode="External"/><Relationship Id="rId148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showComments=1&amp;guid=6882be48-6626-5238-d3df-94e9f0a0019d" TargetMode="External"/><Relationship Id="rId9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436cc99776e744639bf94d5149a12056&amp;showComments=1&amp;guid=6882be48-6626-5238-d3df-94e9f0a0019d" TargetMode="External"/><Relationship Id="rId143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85583d13658e4f619bd12de2769fa4cf&amp;showComments=1&amp;guid=6882be48-6626-5238-d3df-94e9f0a0019d" TargetMode="External"/><Relationship Id="rId385" Type="http://schemas.openxmlformats.org/officeDocument/2006/relationships/hyperlink" Target="https://photos.google.com/search/4%C2%BAPav.-Sala%20Rack%20GG%20-%20TI" TargetMode="External"/><Relationship Id="rId142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85583d13658e4f619bd12de2769fa4cf&amp;showComments=1&amp;guid=6882be48-6626-5238-d3df-94e9f0a0019d" TargetMode="External"/><Relationship Id="rId384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5ed2ed20ae304d2c8204d77a79aa1b96&amp;showComments=1&amp;guid=6882be48-6626-5238-d3df-94e9f0a0019d" TargetMode="External"/><Relationship Id="rId141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b064a1f8eb97403b98ecfab5d577c151&amp;showComments=1&amp;guid=6882be48-6626-5238-d3df-94e9f0a0019d" TargetMode="External"/><Relationship Id="rId383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5ed2ed20ae304d2c8204d77a79aa1b96&amp;showComments=1&amp;guid=6882be48-6626-5238-d3df-94e9f0a0019d" TargetMode="External"/><Relationship Id="rId140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b064a1f8eb97403b98ecfab5d577c151&amp;showComments=1&amp;guid=6882be48-6626-5238-d3df-94e9f0a0019d" TargetMode="External"/><Relationship Id="rId382" Type="http://schemas.openxmlformats.org/officeDocument/2006/relationships/hyperlink" Target="https://photos.google.com/search/4%C2%BAPav.-Sala%20El%C3%A9trica%20QDG4" TargetMode="External"/><Relationship Id="rId5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3c6e25073639441e8e347606248889a2&amp;showComments=1&amp;guid=6882be48-6626-5238-d3df-94e9f0a0019d" TargetMode="External"/><Relationship Id="rId147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36437738f6fb416b9aef50b71575e907&amp;showComments=1&amp;guid=6882be48-6626-5238-d3df-94e9f0a0019d" TargetMode="External"/><Relationship Id="rId389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58bc8a172b6b4bae9fa095c1770ba4ed&amp;showComments=1&amp;guid=6882be48-6626-5238-d3df-94e9f0a0019d" TargetMode="External"/><Relationship Id="rId6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3c6e25073639441e8e347606248889a2&amp;showComments=1&amp;guid=6882be48-6626-5238-d3df-94e9f0a0019d" TargetMode="External"/><Relationship Id="rId146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36437738f6fb416b9aef50b71575e907&amp;showComments=1&amp;guid=6882be48-6626-5238-d3df-94e9f0a0019d" TargetMode="External"/><Relationship Id="rId388" Type="http://schemas.openxmlformats.org/officeDocument/2006/relationships/hyperlink" Target="https://photos.google.com/search/4%C2%BAPav.-Sala%20Rack%20HH%20-%20TI" TargetMode="External"/><Relationship Id="rId7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7b8291e7388243c5a7a1d954f8752a0e&amp;showComments=1&amp;guid=6882be48-6626-5238-d3df-94e9f0a0019d" TargetMode="External"/><Relationship Id="rId145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4db6eb933b5c43a292bf2c90d902b53c&amp;showComments=1&amp;guid=6882be48-6626-5238-d3df-94e9f0a0019d" TargetMode="External"/><Relationship Id="rId387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cfa3117794a04edbad236bef72ee8cab&amp;showComments=1&amp;guid=6882be48-6626-5238-d3df-94e9f0a0019d" TargetMode="External"/><Relationship Id="rId8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7b8291e7388243c5a7a1d954f8752a0e&amp;showComments=1&amp;guid=6882be48-6626-5238-d3df-94e9f0a0019d" TargetMode="External"/><Relationship Id="rId144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4db6eb933b5c43a292bf2c90d902b53c&amp;showComments=1&amp;guid=6882be48-6626-5238-d3df-94e9f0a0019d" TargetMode="External"/><Relationship Id="rId386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cfa3117794a04edbad236bef72ee8cab&amp;showComments=1&amp;guid=6882be48-6626-5238-d3df-94e9f0a0019d" TargetMode="External"/><Relationship Id="rId381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4379f86d48c048559b43cfbfd61a84a2&amp;showComments=1&amp;guid=6882be48-6626-5238-d3df-94e9f0a0019d" TargetMode="External"/><Relationship Id="rId380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4379f86d48c048559b43cfbfd61a84a2&amp;showComments=1&amp;guid=6882be48-6626-5238-d3df-94e9f0a0019d" TargetMode="External"/><Relationship Id="rId139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8d6dcacbb2494366a6b1417e46408eec&amp;showComments=1&amp;guid=6882be48-6626-5238-d3df-94e9f0a0019d" TargetMode="External"/><Relationship Id="rId138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8d6dcacbb2494366a6b1417e46408eec&amp;showComments=1&amp;guid=6882be48-6626-5238-d3df-94e9f0a0019d" TargetMode="External"/><Relationship Id="rId137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af7c25d70b1c496bbb831280f69d4bce&amp;showComments=1&amp;guid=6882be48-6626-5238-d3df-94e9f0a0019d" TargetMode="External"/><Relationship Id="rId379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651e86be242a4a0296da76c803953e79&amp;showComments=1&amp;guid=6882be48-6626-5238-d3df-94e9f0a0019d" TargetMode="External"/><Relationship Id="rId132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ae38a2bd969e4683a77286421aa35679&amp;showComments=1&amp;guid=6882be48-6626-5238-d3df-94e9f0a0019d" TargetMode="External"/><Relationship Id="rId374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2b16a249f2db45f1a384b98ba2d185d5&amp;showComments=1&amp;guid=6882be48-6626-5238-d3df-94e9f0a0019d" TargetMode="External"/><Relationship Id="rId131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95194671135143af896d32a26ceebc1a&amp;showComments=1&amp;guid=6882be48-6626-5238-d3df-94e9f0a0019d" TargetMode="External"/><Relationship Id="rId373" Type="http://schemas.openxmlformats.org/officeDocument/2006/relationships/hyperlink" Target="https://photos.google.com/search/4%C2%BAPav.-Sala%20de%20Servi%C3%A7o%201" TargetMode="External"/><Relationship Id="rId130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95194671135143af896d32a26ceebc1a&amp;showComments=1&amp;guid=6882be48-6626-5238-d3df-94e9f0a0019d" TargetMode="External"/><Relationship Id="rId372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66c4a3b864b84fef82bf8ac2fe9d1e1f&amp;showComments=1&amp;guid=6882be48-6626-5238-d3df-94e9f0a0019d" TargetMode="External"/><Relationship Id="rId371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66c4a3b864b84fef82bf8ac2fe9d1e1f&amp;showComments=1&amp;guid=6882be48-6626-5238-d3df-94e9f0a0019d" TargetMode="External"/><Relationship Id="rId136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af7c25d70b1c496bbb831280f69d4bce&amp;showComments=1&amp;guid=6882be48-6626-5238-d3df-94e9f0a0019d" TargetMode="External"/><Relationship Id="rId378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651e86be242a4a0296da76c803953e79&amp;showComments=1&amp;guid=6882be48-6626-5238-d3df-94e9f0a0019d" TargetMode="External"/><Relationship Id="rId135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24693add50fc40baa8a6f1d0d0da7c3d&amp;showComments=1&amp;guid=6882be48-6626-5238-d3df-94e9f0a0019d" TargetMode="External"/><Relationship Id="rId377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0d6675560ac6446dac7be86095d104f2&amp;showComments=1&amp;guid=6882be48-6626-5238-d3df-94e9f0a0019d" TargetMode="External"/><Relationship Id="rId134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24693add50fc40baa8a6f1d0d0da7c3d&amp;showComments=1&amp;guid=6882be48-6626-5238-d3df-94e9f0a0019d" TargetMode="External"/><Relationship Id="rId376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0d6675560ac6446dac7be86095d104f2&amp;showComments=1&amp;guid=6882be48-6626-5238-d3df-94e9f0a0019d" TargetMode="External"/><Relationship Id="rId133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ae38a2bd969e4683a77286421aa35679&amp;showComments=1&amp;guid=6882be48-6626-5238-d3df-94e9f0a0019d" TargetMode="External"/><Relationship Id="rId375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2b16a249f2db45f1a384b98ba2d185d5&amp;showComments=1&amp;guid=6882be48-6626-5238-d3df-94e9f0a0019d" TargetMode="External"/><Relationship Id="rId172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d6693519e8634a5887453d8fd6493b84&amp;showComments=1&amp;guid=6882be48-6626-5238-d3df-94e9f0a0019d" TargetMode="External"/><Relationship Id="rId171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d6693519e8634a5887453d8fd6493b84&amp;showComments=1&amp;guid=6882be48-6626-5238-d3df-94e9f0a0019d" TargetMode="External"/><Relationship Id="rId170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795390faf5bc40cb8ef9b380c2696963&amp;showComments=1&amp;guid=6882be48-6626-5238-d3df-94e9f0a0019d" TargetMode="External"/><Relationship Id="rId165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131c5338d6fa445e868756c5557fb223&amp;showComments=1&amp;guid=6882be48-6626-5238-d3df-94e9f0a0019d" TargetMode="External"/><Relationship Id="rId164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b33b86c0f11e4803aa6aaa8eb5632280&amp;showComments=1&amp;guid=6882be48-6626-5238-d3df-94e9f0a0019d" TargetMode="External"/><Relationship Id="rId163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b33b86c0f11e4803aa6aaa8eb5632280&amp;showComments=1&amp;guid=6882be48-6626-5238-d3df-94e9f0a0019d" TargetMode="External"/><Relationship Id="rId162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2c10a565467846a38e9f5f0bdd8496fb&amp;showComments=1&amp;guid=6882be48-6626-5238-d3df-94e9f0a0019d" TargetMode="External"/><Relationship Id="rId169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795390faf5bc40cb8ef9b380c2696963&amp;showComments=1&amp;guid=6882be48-6626-5238-d3df-94e9f0a0019d" TargetMode="External"/><Relationship Id="rId168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603cc9abbd504598ae3374d752e0a1ce&amp;showComments=1&amp;guid=6882be48-6626-5238-d3df-94e9f0a0019d" TargetMode="External"/><Relationship Id="rId167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603cc9abbd504598ae3374d752e0a1ce&amp;showComments=1&amp;guid=6882be48-6626-5238-d3df-94e9f0a0019d" TargetMode="External"/><Relationship Id="rId166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131c5338d6fa445e868756c5557fb223&amp;showComments=1&amp;guid=6882be48-6626-5238-d3df-94e9f0a0019d" TargetMode="External"/><Relationship Id="rId161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2c10a565467846a38e9f5f0bdd8496fb&amp;showComments=1&amp;guid=6882be48-6626-5238-d3df-94e9f0a0019d" TargetMode="External"/><Relationship Id="rId160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f61143f70eeb40289b4537cd50b755aa&amp;showComments=1&amp;guid=6882be48-6626-5238-d3df-94e9f0a0019d" TargetMode="External"/><Relationship Id="rId159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f61143f70eeb40289b4537cd50b755aa&amp;showComments=1&amp;guid=6882be48-6626-5238-d3df-94e9f0a0019d" TargetMode="External"/><Relationship Id="rId154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showComments=1&amp;guid=6882be48-6626-5238-d3df-94e9f0a0019d&amp;commentId=urn:adsk.comments:social.comment:7f6485a933314acab8daaa6c290164cd" TargetMode="External"/><Relationship Id="rId396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44a507528fa64c7dbe9fc72d6ffbadfb&amp;showComments=1&amp;guid=6882be48-6626-5238-d3df-94e9f0a0019d" TargetMode="External"/><Relationship Id="rId153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showComments=1&amp;guid=6882be48-6626-5238-d3df-94e9f0a0019d&amp;commentId=urn:adsk.comments:social.comment:7f6485a933314acab8daaa6c290164cd" TargetMode="External"/><Relationship Id="rId395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44a507528fa64c7dbe9fc72d6ffbadfb&amp;showComments=1&amp;guid=6882be48-6626-5238-d3df-94e9f0a0019d" TargetMode="External"/><Relationship Id="rId152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7e498cc6958c4299ba4992c72f0f7d50&amp;showComments=1&amp;guid=6882be48-6626-5238-d3df-94e9f0a0019d" TargetMode="External"/><Relationship Id="rId394" Type="http://schemas.openxmlformats.org/officeDocument/2006/relationships/hyperlink" Target="https://photos.google.com/search/4%C2%BAPav.-Sanit%C3%A1rio%20P%C3%BAblico%20PCD%20Masculino%20-%20Banho" TargetMode="External"/><Relationship Id="rId151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7e498cc6958c4299ba4992c72f0f7d50&amp;showComments=1&amp;guid=6882be48-6626-5238-d3df-94e9f0a0019d" TargetMode="External"/><Relationship Id="rId393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5f90248859024b81b0d36b3cb84a2c0a&amp;showComments=1&amp;guid=6882be48-6626-5238-d3df-94e9f0a0019d" TargetMode="External"/><Relationship Id="rId158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f4680b93c69a479aa3603caf1d07390e&amp;showComments=1&amp;guid=6882be48-6626-5238-d3df-94e9f0a0019d" TargetMode="External"/><Relationship Id="rId157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f4680b93c69a479aa3603caf1d07390e&amp;showComments=1&amp;guid=6882be48-6626-5238-d3df-94e9f0a0019d" TargetMode="External"/><Relationship Id="rId399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d36421df8f54416dad89d01b5490c19d&amp;showComments=1&amp;guid=6882be48-6626-5238-d3df-94e9f0a0019d" TargetMode="External"/><Relationship Id="rId156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showComments=1&amp;guid=6882be48-6626-5238-d3df-94e9f0a0019d" TargetMode="External"/><Relationship Id="rId398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03696e59656b41b394631d4762685005&amp;showComments=1&amp;guid=6882be48-6626-5238-d3df-94e9f0a0019d" TargetMode="External"/><Relationship Id="rId155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showComments=1&amp;guid=6882be48-6626-5238-d3df-94e9f0a0019d" TargetMode="External"/><Relationship Id="rId397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03696e59656b41b394631d4762685005&amp;showComments=1&amp;guid=6882be48-6626-5238-d3df-94e9f0a0019d" TargetMode="External"/><Relationship Id="rId808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" TargetMode="External"/><Relationship Id="rId807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d75a8b2b25b74b7cb12d82a8c8a42758&amp;showComments=1&amp;guid=6882be48-6626-5238-d3df-94e9f0a0019d" TargetMode="External"/><Relationship Id="rId806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d75a8b2b25b74b7cb12d82a8c8a42758&amp;showComments=1&amp;guid=6882be48-6626-5238-d3df-94e9f0a0019d" TargetMode="External"/><Relationship Id="rId805" Type="http://schemas.openxmlformats.org/officeDocument/2006/relationships/hyperlink" Target="https://photos.google.com/search/ME-Sala%20Ar%20Condicionado%20-%20CM-M4" TargetMode="External"/><Relationship Id="rId809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" TargetMode="External"/><Relationship Id="rId800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73dd52414fe849a19fb4e0222f3c2556&amp;showComments=1&amp;guid=6882be48-6626-5238-d3df-94e9f0a0019d" TargetMode="External"/><Relationship Id="rId804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817333c7d4a54247a806b9b50bb36c54&amp;showComments=1&amp;guid=6882be48-6626-5238-d3df-94e9f0a0019d" TargetMode="External"/><Relationship Id="rId803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817333c7d4a54247a806b9b50bb36c54&amp;showComments=1&amp;guid=6882be48-6626-5238-d3df-94e9f0a0019d" TargetMode="External"/><Relationship Id="rId802" Type="http://schemas.openxmlformats.org/officeDocument/2006/relationships/hyperlink" Target="https://photos.google.com/search/ME-Sala%20Ar%20Condicionado%20-%20CM-M3" TargetMode="External"/><Relationship Id="rId801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73dd52414fe849a19fb4e0222f3c2556&amp;showComments=1&amp;guid=6882be48-6626-5238-d3df-94e9f0a0019d" TargetMode="External"/><Relationship Id="rId40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1882645c37d747daaaa888df63f31ddd&amp;showComments=1&amp;guid=6882be48-6626-5238-d3df-94e9f0a0019d" TargetMode="External"/><Relationship Id="rId42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40a82da47b2a42b3abfcf0cd35df5b10&amp;showComments=1&amp;guid=6882be48-6626-5238-d3df-94e9f0a0019d" TargetMode="External"/><Relationship Id="rId41" Type="http://schemas.openxmlformats.org/officeDocument/2006/relationships/hyperlink" Target="https://photos.google.com/search/2%C2%BAPav.-Corredor%20Central%20Setor%20B" TargetMode="External"/><Relationship Id="rId44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5f734b3fb3c045cfbd41782be16b890d&amp;showComments=1&amp;guid=6882be48-6626-5238-d3df-94e9f0a0019d" TargetMode="External"/><Relationship Id="rId43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40a82da47b2a42b3abfcf0cd35df5b10&amp;showComments=1&amp;guid=6882be48-6626-5238-d3df-94e9f0a0019d" TargetMode="External"/><Relationship Id="rId46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cb61c77dd9914ef8afa1fba960bb0f25&amp;showComments=1&amp;guid=6882be48-6626-5238-d3df-94e9f0a0019d" TargetMode="External"/><Relationship Id="rId45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5f734b3fb3c045cfbd41782be16b890d&amp;showComments=1&amp;guid=6882be48-6626-5238-d3df-94e9f0a0019d" TargetMode="External"/><Relationship Id="rId509" Type="http://schemas.openxmlformats.org/officeDocument/2006/relationships/hyperlink" Target="https://photos.google.com/search/5%C2%BAPav.-Sala%20Ar%20Condicionado%20-%20CM5.1" TargetMode="External"/><Relationship Id="rId508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a198c76749ec4cde9ab8445cc3a5abb3&amp;showComments=1&amp;guid=6882be48-6626-5238-d3df-94e9f0a0019d" TargetMode="External"/><Relationship Id="rId503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ea94caeacaf84397be1fa5878e4c5e7b&amp;showComments=1&amp;guid=6882be48-6626-5238-d3df-94e9f0a0019d" TargetMode="External"/><Relationship Id="rId745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969ac0e85ffd49aa93eed257702f9e09&amp;showComments=1&amp;guid=6882be48-6626-5238-d3df-94e9f0a0019d" TargetMode="External"/><Relationship Id="rId502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02e6fe79c2c24a3e95a043b6b9970a4c&amp;showComments=1&amp;guid=6882be48-6626-5238-d3df-94e9f0a0019d" TargetMode="External"/><Relationship Id="rId744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969ac0e85ffd49aa93eed257702f9e09&amp;showComments=1&amp;guid=6882be48-6626-5238-d3df-94e9f0a0019d" TargetMode="External"/><Relationship Id="rId501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02e6fe79c2c24a3e95a043b6b9970a4c&amp;showComments=1&amp;guid=6882be48-6626-5238-d3df-94e9f0a0019d" TargetMode="External"/><Relationship Id="rId743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c0dee296eaa6445da193647b49acb08f&amp;showComments=1&amp;guid=6882be48-6626-5238-d3df-94e9f0a0019d" TargetMode="External"/><Relationship Id="rId500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7c3bf6a58db14bbf98bcd43fee71762c&amp;showComments=1&amp;guid=6882be48-6626-5238-d3df-94e9f0a0019d" TargetMode="External"/><Relationship Id="rId742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c0dee296eaa6445da193647b49acb08f&amp;showComments=1&amp;guid=6882be48-6626-5238-d3df-94e9f0a0019d" TargetMode="External"/><Relationship Id="rId507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a198c76749ec4cde9ab8445cc3a5abb3&amp;showComments=1&amp;guid=6882be48-6626-5238-d3df-94e9f0a0019d" TargetMode="External"/><Relationship Id="rId749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0c3a61cfcd22404fa8b1995772e235d5&amp;showComments=1&amp;guid=6882be48-6626-5238-d3df-94e9f0a0019d" TargetMode="External"/><Relationship Id="rId506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adcae10675ad4c6e8748aa8870a7b239&amp;showComments=1&amp;guid=6882be48-6626-5238-d3df-94e9f0a0019d" TargetMode="External"/><Relationship Id="rId748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0c3a61cfcd22404fa8b1995772e235d5&amp;showComments=1&amp;guid=6882be48-6626-5238-d3df-94e9f0a0019d" TargetMode="External"/><Relationship Id="rId505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adcae10675ad4c6e8748aa8870a7b239&amp;showComments=1&amp;guid=6882be48-6626-5238-d3df-94e9f0a0019d" TargetMode="External"/><Relationship Id="rId747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7315c6893c744f60b399c52cf2db90dc&amp;showComments=1&amp;guid=6882be48-6626-5238-d3df-94e9f0a0019d" TargetMode="External"/><Relationship Id="rId504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ea94caeacaf84397be1fa5878e4c5e7b&amp;showComments=1&amp;guid=6882be48-6626-5238-d3df-94e9f0a0019d" TargetMode="External"/><Relationship Id="rId746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7315c6893c744f60b399c52cf2db90dc&amp;showComments=1&amp;guid=6882be48-6626-5238-d3df-94e9f0a0019d" TargetMode="External"/><Relationship Id="rId48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c38f19a6d2a44a469798a0c4f722223d&amp;showComments=1&amp;guid=6882be48-6626-5238-d3df-94e9f0a0019d" TargetMode="External"/><Relationship Id="rId47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cb61c77dd9914ef8afa1fba960bb0f25&amp;showComments=1&amp;guid=6882be48-6626-5238-d3df-94e9f0a0019d" TargetMode="External"/><Relationship Id="rId49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c38f19a6d2a44a469798a0c4f722223d&amp;showComments=1&amp;guid=6882be48-6626-5238-d3df-94e9f0a0019d" TargetMode="External"/><Relationship Id="rId741" Type="http://schemas.openxmlformats.org/officeDocument/2006/relationships/hyperlink" Target="https://photos.google.com/search/ME-Antec%C3%A2mara%20Setor%20A" TargetMode="External"/><Relationship Id="rId740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fa6ce082b2464c1ea2b09013c1993a66&amp;showComments=1&amp;guid=6882be48-6626-5238-d3df-94e9f0a0019d" TargetMode="External"/><Relationship Id="rId31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3892f26f5af946c1b01851f8081432ae&amp;showComments=1&amp;guid=6882be48-6626-5238-d3df-94e9f0a0019d" TargetMode="External"/><Relationship Id="rId30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3892f26f5af946c1b01851f8081432ae&amp;showComments=1&amp;guid=6882be48-6626-5238-d3df-94e9f0a0019d" TargetMode="External"/><Relationship Id="rId33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c4957477c6284c6bae3310116d667428&amp;showComments=1&amp;guid=6882be48-6626-5238-d3df-94e9f0a0019d" TargetMode="External"/><Relationship Id="rId32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c4957477c6284c6bae3310116d667428&amp;showComments=1&amp;guid=6882be48-6626-5238-d3df-94e9f0a0019d" TargetMode="External"/><Relationship Id="rId35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e13102bdbe6d42b78d5880435c850464&amp;showComments=1&amp;guid=6882be48-6626-5238-d3df-94e9f0a0019d" TargetMode="External"/><Relationship Id="rId34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e13102bdbe6d42b78d5880435c850464&amp;showComments=1&amp;guid=6882be48-6626-5238-d3df-94e9f0a0019d" TargetMode="External"/><Relationship Id="rId739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fa6ce082b2464c1ea2b09013c1993a66&amp;showComments=1&amp;guid=6882be48-6626-5238-d3df-94e9f0a0019d" TargetMode="External"/><Relationship Id="rId734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29a2cb9bbeaa410fb1e4594655226589&amp;showComments=1&amp;guid=6882be48-6626-5238-d3df-94e9f0a0019d" TargetMode="External"/><Relationship Id="rId733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29a2cb9bbeaa410fb1e4594655226589&amp;showComments=1&amp;guid=6882be48-6626-5238-d3df-94e9f0a0019d" TargetMode="External"/><Relationship Id="rId732" Type="http://schemas.openxmlformats.org/officeDocument/2006/relationships/hyperlink" Target="https://photos.google.com/search/Cob.-Subesta%C3%A7%C3%A3o%202" TargetMode="External"/><Relationship Id="rId731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e0e1bde3ec98471bae9662ec88b69881&amp;showComments=1&amp;guid=6882be48-6626-5238-d3df-94e9f0a0019d" TargetMode="External"/><Relationship Id="rId738" Type="http://schemas.openxmlformats.org/officeDocument/2006/relationships/hyperlink" Target="https://photos.google.com/search/ME-Antec%C3%A2mara%20Setor%20A" TargetMode="External"/><Relationship Id="rId737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" TargetMode="External"/><Relationship Id="rId736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" TargetMode="External"/><Relationship Id="rId735" Type="http://schemas.openxmlformats.org/officeDocument/2006/relationships/hyperlink" Target="https://photos.google.com/share/AF1QipPPRTnsWZVxW8rBHBDmJlcTpaenKc2tCHCmgWIsWlKwNCnsxc0hAtkIG8TML23cTA?key=WWs0M3JDOFR1N0ktUVRISGYyVmplanMwaDRETzZ3" TargetMode="External"/><Relationship Id="rId37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05a9839aff294e7d9284043d76be4cba&amp;showComments=1&amp;guid=6882be48-6626-5238-d3df-94e9f0a0019d" TargetMode="External"/><Relationship Id="rId36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05a9839aff294e7d9284043d76be4cba&amp;showComments=1&amp;guid=6882be48-6626-5238-d3df-94e9f0a0019d" TargetMode="External"/><Relationship Id="rId39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1882645c37d747daaaa888df63f31ddd&amp;showComments=1&amp;guid=6882be48-6626-5238-d3df-94e9f0a0019d" TargetMode="External"/><Relationship Id="rId38" Type="http://schemas.openxmlformats.org/officeDocument/2006/relationships/hyperlink" Target="https://photos.google.com/search/2%C2%BAPav.-Corredor%20Central%20Setor%20A" TargetMode="External"/><Relationship Id="rId730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e0e1bde3ec98471bae9662ec88b69881&amp;showComments=1&amp;guid=6882be48-6626-5238-d3df-94e9f0a0019d" TargetMode="External"/><Relationship Id="rId971" Type="http://schemas.openxmlformats.org/officeDocument/2006/relationships/drawing" Target="../drawings/drawing7.xml"/><Relationship Id="rId970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d13203bd7bc44050b35f47342d496929&amp;showComments=1&amp;guid=6882be48-6626-5238-d3df-94e9f0a0019d" TargetMode="External"/><Relationship Id="rId20" Type="http://schemas.openxmlformats.org/officeDocument/2006/relationships/hyperlink" Target="https://photos.google.com/search/2%C2%BAPav.-Assistente%20Social" TargetMode="External"/><Relationship Id="rId22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bce2bf4a74b24481bc21c127432efe65&amp;showComments=1&amp;guid=6882be48-6626-5238-d3df-94e9f0a0019d" TargetMode="External"/><Relationship Id="rId21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bce2bf4a74b24481bc21c127432efe65&amp;showComments=1&amp;guid=6882be48-6626-5238-d3df-94e9f0a0019d" TargetMode="External"/><Relationship Id="rId24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b4e772a941f64d0a803b93128435622c&amp;showComments=1&amp;guid=6882be48-6626-5238-d3df-94e9f0a0019d" TargetMode="External"/><Relationship Id="rId23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b4e772a941f64d0a803b93128435622c&amp;showComments=1&amp;guid=6882be48-6626-5238-d3df-94e9f0a0019d" TargetMode="External"/><Relationship Id="rId525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fab0cae952a14ff6b08e02f4dc38249a&amp;showComments=1&amp;guid=6882be48-6626-5238-d3df-94e9f0a0019d" TargetMode="External"/><Relationship Id="rId767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d69edd0c39db4e34bd997bee2f6eab84&amp;showComments=1&amp;guid=6882be48-6626-5238-d3df-94e9f0a0019d" TargetMode="External"/><Relationship Id="rId524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fab0cae952a14ff6b08e02f4dc38249a&amp;showComments=1&amp;guid=6882be48-6626-5238-d3df-94e9f0a0019d" TargetMode="External"/><Relationship Id="rId766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2ab3556f11964b569b05d0144f9b3129&amp;showComments=1&amp;guid=6882be48-6626-5238-d3df-94e9f0a0019d" TargetMode="External"/><Relationship Id="rId523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6b65fc46a77b4905b87735235778e174&amp;showComments=1&amp;guid=6882be48-6626-5238-d3df-94e9f0a0019d" TargetMode="External"/><Relationship Id="rId765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2ab3556f11964b569b05d0144f9b3129&amp;showComments=1&amp;guid=6882be48-6626-5238-d3df-94e9f0a0019d" TargetMode="External"/><Relationship Id="rId522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6b65fc46a77b4905b87735235778e174&amp;showComments=1&amp;guid=6882be48-6626-5238-d3df-94e9f0a0019d" TargetMode="External"/><Relationship Id="rId764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61663bf1553849e5a257738ccf9fa889&amp;showComments=1&amp;guid=6882be48-6626-5238-d3df-94e9f0a0019d" TargetMode="External"/><Relationship Id="rId529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10c358d4593b4f21911fd8f34a6eb6bb&amp;showComments=1&amp;guid=6882be48-6626-5238-d3df-94e9f0a0019d" TargetMode="External"/><Relationship Id="rId528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10c358d4593b4f21911fd8f34a6eb6bb&amp;showComments=1&amp;guid=6882be48-6626-5238-d3df-94e9f0a0019d" TargetMode="External"/><Relationship Id="rId527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804d31436da84912ba19a6f604f9ccd5&amp;showComments=1&amp;guid=6882be48-6626-5238-d3df-94e9f0a0019d" TargetMode="External"/><Relationship Id="rId769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012937fd653f45a496447490a495064c&amp;showComments=1&amp;guid=6882be48-6626-5238-d3df-94e9f0a0019d" TargetMode="External"/><Relationship Id="rId526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804d31436da84912ba19a6f604f9ccd5&amp;showComments=1&amp;guid=6882be48-6626-5238-d3df-94e9f0a0019d" TargetMode="External"/><Relationship Id="rId768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d69edd0c39db4e34bd997bee2f6eab84&amp;showComments=1&amp;guid=6882be48-6626-5238-d3df-94e9f0a0019d" TargetMode="External"/><Relationship Id="rId26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d28eb067f9f24da08280197c8ac30ff6&amp;showComments=1&amp;guid=6882be48-6626-5238-d3df-94e9f0a0019d" TargetMode="External"/><Relationship Id="rId25" Type="http://schemas.openxmlformats.org/officeDocument/2006/relationships/hyperlink" Target="https://photos.google.com/search/2%C2%BAPav.-Circula%C3%A7%C3%A3o%20Monta%20Carga" TargetMode="External"/><Relationship Id="rId28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54997e72ff6b450fa1b7246214f14ddf&amp;showComments=1&amp;guid=6882be48-6626-5238-d3df-94e9f0a0019d" TargetMode="External"/><Relationship Id="rId27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d28eb067f9f24da08280197c8ac30ff6&amp;showComments=1&amp;guid=6882be48-6626-5238-d3df-94e9f0a0019d" TargetMode="External"/><Relationship Id="rId521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c28383736d9c4afeadcbe5073e35936b&amp;showComments=1&amp;guid=6882be48-6626-5238-d3df-94e9f0a0019d" TargetMode="External"/><Relationship Id="rId763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61663bf1553849e5a257738ccf9fa889&amp;showComments=1&amp;guid=6882be48-6626-5238-d3df-94e9f0a0019d" TargetMode="External"/><Relationship Id="rId29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54997e72ff6b450fa1b7246214f14ddf&amp;showComments=1&amp;guid=6882be48-6626-5238-d3df-94e9f0a0019d" TargetMode="External"/><Relationship Id="rId520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c28383736d9c4afeadcbe5073e35936b&amp;showComments=1&amp;guid=6882be48-6626-5238-d3df-94e9f0a0019d" TargetMode="External"/><Relationship Id="rId762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" TargetMode="External"/><Relationship Id="rId761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" TargetMode="External"/><Relationship Id="rId760" Type="http://schemas.openxmlformats.org/officeDocument/2006/relationships/hyperlink" Target="https://photos.google.com/search/ME-Circula%C3%A7%C3%A3o%20Shafts%20Setor%20A" TargetMode="External"/><Relationship Id="rId11" Type="http://schemas.openxmlformats.org/officeDocument/2006/relationships/hyperlink" Target="https://photos.google.com/search/2%C2%BAPav.-Antec%C3%A2mara%20Setor%20B" TargetMode="External"/><Relationship Id="rId10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436cc99776e744639bf94d5149a12056&amp;showComments=1&amp;guid=6882be48-6626-5238-d3df-94e9f0a0019d" TargetMode="External"/><Relationship Id="rId13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c54e018dfcd6449cb526a56a57d62ee8&amp;showComments=1&amp;guid=6882be48-6626-5238-d3df-94e9f0a0019d" TargetMode="External"/><Relationship Id="rId12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c54e018dfcd6449cb526a56a57d62ee8&amp;showComments=1&amp;guid=6882be48-6626-5238-d3df-94e9f0a0019d" TargetMode="External"/><Relationship Id="rId519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3921911528f1496e8a2e81395dc42022&amp;showComments=1&amp;guid=6882be48-6626-5238-d3df-94e9f0a0019d" TargetMode="External"/><Relationship Id="rId514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6a4dad585143438dace390c73c781a60&amp;showComments=1&amp;guid=6882be48-6626-5238-d3df-94e9f0a0019d" TargetMode="External"/><Relationship Id="rId756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3d45db648e75484b8961b2284cc36b04&amp;showComments=1&amp;guid=6882be48-6626-5238-d3df-94e9f0a0019d" TargetMode="External"/><Relationship Id="rId513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f30145ebe3c04163ae14eca430828621&amp;showComments=1&amp;guid=6882be48-6626-5238-d3df-94e9f0a0019d" TargetMode="External"/><Relationship Id="rId755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3d45db648e75484b8961b2284cc36b04&amp;showComments=1&amp;guid=6882be48-6626-5238-d3df-94e9f0a0019d" TargetMode="External"/><Relationship Id="rId512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f30145ebe3c04163ae14eca430828621&amp;showComments=1&amp;guid=6882be48-6626-5238-d3df-94e9f0a0019d" TargetMode="External"/><Relationship Id="rId754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" TargetMode="External"/><Relationship Id="rId511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3dbf4b3eee904d4187c008522a9f57b0&amp;showComments=1&amp;guid=6882be48-6626-5238-d3df-94e9f0a0019d" TargetMode="External"/><Relationship Id="rId753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" TargetMode="External"/><Relationship Id="rId518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3921911528f1496e8a2e81395dc42022&amp;showComments=1&amp;guid=6882be48-6626-5238-d3df-94e9f0a0019d" TargetMode="External"/><Relationship Id="rId517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3fab95f7db86415b964f5fdc81282438&amp;showComments=1&amp;guid=6882be48-6626-5238-d3df-94e9f0a0019d" TargetMode="External"/><Relationship Id="rId759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ec5a080d3b0e4cc39295388855c950dc&amp;showComments=1&amp;guid=6882be48-6626-5238-d3df-94e9f0a0019d" TargetMode="External"/><Relationship Id="rId516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3fab95f7db86415b964f5fdc81282438&amp;showComments=1&amp;guid=6882be48-6626-5238-d3df-94e9f0a0019d" TargetMode="External"/><Relationship Id="rId758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ec5a080d3b0e4cc39295388855c950dc&amp;showComments=1&amp;guid=6882be48-6626-5238-d3df-94e9f0a0019d" TargetMode="External"/><Relationship Id="rId515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6a4dad585143438dace390c73c781a60&amp;showComments=1&amp;guid=6882be48-6626-5238-d3df-94e9f0a0019d" TargetMode="External"/><Relationship Id="rId757" Type="http://schemas.openxmlformats.org/officeDocument/2006/relationships/hyperlink" Target="https://photos.google.com/search/ME-Circula%C3%A7%C3%A3o%20Setor%20B" TargetMode="External"/><Relationship Id="rId15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2092d960dc73478c937a3506afaa9454&amp;showComments=1&amp;guid=6882be48-6626-5238-d3df-94e9f0a0019d" TargetMode="External"/><Relationship Id="rId14" Type="http://schemas.openxmlformats.org/officeDocument/2006/relationships/hyperlink" Target="https://photos.google.com/search/2%C2%BAPav.-%C3%81rea%20Registro%20de%20Pacientes" TargetMode="External"/><Relationship Id="rId17" Type="http://schemas.openxmlformats.org/officeDocument/2006/relationships/hyperlink" Target="https://photos.google.com/search/2%C2%BAPav.-Armazenamento%20FME" TargetMode="External"/><Relationship Id="rId16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2092d960dc73478c937a3506afaa9454&amp;showComments=1&amp;guid=6882be48-6626-5238-d3df-94e9f0a0019d" TargetMode="External"/><Relationship Id="rId19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b308e19492464a80b8d6ea28bd847077&amp;showComments=1&amp;guid=6882be48-6626-5238-d3df-94e9f0a0019d" TargetMode="External"/><Relationship Id="rId510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3dbf4b3eee904d4187c008522a9f57b0&amp;showComments=1&amp;guid=6882be48-6626-5238-d3df-94e9f0a0019d" TargetMode="External"/><Relationship Id="rId752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fbeb034ea2d04216b2e41f290364f098&amp;showComments=1&amp;guid=6882be48-6626-5238-d3df-94e9f0a0019d" TargetMode="External"/><Relationship Id="rId18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b308e19492464a80b8d6ea28bd847077&amp;showComments=1&amp;guid=6882be48-6626-5238-d3df-94e9f0a0019d" TargetMode="External"/><Relationship Id="rId751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fbeb034ea2d04216b2e41f290364f098&amp;showComments=1&amp;guid=6882be48-6626-5238-d3df-94e9f0a0019d" TargetMode="External"/><Relationship Id="rId750" Type="http://schemas.openxmlformats.org/officeDocument/2006/relationships/hyperlink" Target="https://photos.google.com/search/ME-Circula%C3%A7%C3%A3o%20Monta%20Cargas" TargetMode="External"/><Relationship Id="rId84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786c183a90ed4e82987ad43f98e3f4f3&amp;showComments=1&amp;guid=6882be48-6626-5238-d3df-94e9f0a0019d" TargetMode="External"/><Relationship Id="rId83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786c183a90ed4e82987ad43f98e3f4f3&amp;showComments=1&amp;guid=6882be48-6626-5238-d3df-94e9f0a0019d" TargetMode="External"/><Relationship Id="rId86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1be102112d9547c7b007556b7f51eee5&amp;showComments=1&amp;guid=6882be48-6626-5238-d3df-94e9f0a0019d" TargetMode="External"/><Relationship Id="rId85" Type="http://schemas.openxmlformats.org/officeDocument/2006/relationships/hyperlink" Target="https://photos.google.com/search/2%C2%BAPav.-Sala%20Ar%20Condicionado%20-%20CM2.1" TargetMode="External"/><Relationship Id="rId88" Type="http://schemas.openxmlformats.org/officeDocument/2006/relationships/hyperlink" Target="https://photos.google.com/search/2%C2%BAPav.-Sala%20Ar%20Condicionado%20-%20CM2.2" TargetMode="External"/><Relationship Id="rId87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1be102112d9547c7b007556b7f51eee5&amp;showComments=1&amp;guid=6882be48-6626-5238-d3df-94e9f0a0019d" TargetMode="External"/><Relationship Id="rId89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1a69400125954ca6b40443e70a5785ee&amp;showComments=1&amp;guid=6882be48-6626-5238-d3df-94e9f0a0019d" TargetMode="External"/><Relationship Id="rId709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3af7f8aff31349d1b18fead0856e5906&amp;showComments=1&amp;guid=6882be48-6626-5238-d3df-94e9f0a0019d" TargetMode="External"/><Relationship Id="rId708" Type="http://schemas.openxmlformats.org/officeDocument/2006/relationships/hyperlink" Target="https://photos.google.com/search/Cob.-Sala%20de%20Exaust%C3%A3o%20-%20CM-C.17" TargetMode="External"/><Relationship Id="rId707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fca85d61fef347949f3af943653927b4&amp;showComments=1&amp;guid=6882be48-6626-5238-d3df-94e9f0a0019d" TargetMode="External"/><Relationship Id="rId949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ee51689bd6094aefb68c7d3accda0fd5&amp;showComments=1&amp;guid=6882be48-6626-5238-d3df-94e9f0a0019d" TargetMode="External"/><Relationship Id="rId706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fca85d61fef347949f3af943653927b4&amp;showComments=1&amp;guid=6882be48-6626-5238-d3df-94e9f0a0019d" TargetMode="External"/><Relationship Id="rId948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&amp;commentId=urn:adsk.comments:social.comment:a988aeaa8658469bad856803098e6d66" TargetMode="External"/><Relationship Id="rId80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703e3f21aace4a01b36f8cfa4070e01d&amp;showComments=1&amp;guid=6882be48-6626-5238-d3df-94e9f0a0019d" TargetMode="External"/><Relationship Id="rId82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5477d61e12434bf29eea80259e5ee95a&amp;showComments=1&amp;guid=6882be48-6626-5238-d3df-94e9f0a0019d" TargetMode="External"/><Relationship Id="rId81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5477d61e12434bf29eea80259e5ee95a&amp;showComments=1&amp;guid=6882be48-6626-5238-d3df-94e9f0a0019d" TargetMode="External"/><Relationship Id="rId701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66e33d030dd04cf399409c693c111674&amp;showComments=1&amp;guid=6882be48-6626-5238-d3df-94e9f0a0019d" TargetMode="External"/><Relationship Id="rId943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cd6c6611ebed4e92a5670807776d7ffa&amp;showComments=1&amp;guid=6882be48-6626-5238-d3df-94e9f0a0019d" TargetMode="External"/><Relationship Id="rId700" Type="http://schemas.openxmlformats.org/officeDocument/2006/relationships/hyperlink" Target="https://photos.google.com/search/Cob.-Sala%20Ar%20Condicionado%20-%20CM-C.7" TargetMode="External"/><Relationship Id="rId942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" TargetMode="External"/><Relationship Id="rId941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" TargetMode="External"/><Relationship Id="rId940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aaae55eac5834d4aaa226b5e80f9741e&amp;showComments=1&amp;guid=6882be48-6626-5238-d3df-94e9f0a0019d" TargetMode="External"/><Relationship Id="rId705" Type="http://schemas.openxmlformats.org/officeDocument/2006/relationships/hyperlink" Target="https://photos.google.com/search/Cob.-Sala%20de%20Exaust%C3%A3o%20-%20CM-C.12" TargetMode="External"/><Relationship Id="rId947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&amp;commentId=urn:adsk.comments:social.comment:a988aeaa8658469bad856803098e6d66" TargetMode="External"/><Relationship Id="rId704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eb50260438444a3b927a6f5f4e6deef6&amp;showComments=1&amp;guid=6882be48-6626-5238-d3df-94e9f0a0019d" TargetMode="External"/><Relationship Id="rId946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bf853532220149bcae8a28a6fe269145&amp;showComments=1&amp;guid=6882be48-6626-5238-d3df-94e9f0a0019d" TargetMode="External"/><Relationship Id="rId703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eb50260438444a3b927a6f5f4e6deef6&amp;showComments=1&amp;guid=6882be48-6626-5238-d3df-94e9f0a0019d" TargetMode="External"/><Relationship Id="rId945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bf853532220149bcae8a28a6fe269145&amp;showComments=1&amp;guid=6882be48-6626-5238-d3df-94e9f0a0019d" TargetMode="External"/><Relationship Id="rId702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66e33d030dd04cf399409c693c111674&amp;showComments=1&amp;guid=6882be48-6626-5238-d3df-94e9f0a0019d" TargetMode="External"/><Relationship Id="rId944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cd6c6611ebed4e92a5670807776d7ffa&amp;showComments=1&amp;guid=6882be48-6626-5238-d3df-94e9f0a0019d" TargetMode="External"/><Relationship Id="rId73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877678911866412e9aecd36463dac6bb&amp;showComments=1&amp;guid=6882be48-6626-5238-d3df-94e9f0a0019d" TargetMode="External"/><Relationship Id="rId72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3fefd035e0ef40d98be4f5e2b4c7952d&amp;showComments=1&amp;guid=6882be48-6626-5238-d3df-94e9f0a0019d" TargetMode="External"/><Relationship Id="rId75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8220e2cc5a4148e9a4cd822c05626d64&amp;showComments=1&amp;guid=6882be48-6626-5238-d3df-94e9f0a0019d" TargetMode="External"/><Relationship Id="rId74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877678911866412e9aecd36463dac6bb&amp;showComments=1&amp;guid=6882be48-6626-5238-d3df-94e9f0a0019d" TargetMode="External"/><Relationship Id="rId77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eafcdbe8a6e74699aa7190fb060d4f9e&amp;showComments=1&amp;guid=6882be48-6626-5238-d3df-94e9f0a0019d" TargetMode="External"/><Relationship Id="rId76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8220e2cc5a4148e9a4cd822c05626d64&amp;showComments=1&amp;guid=6882be48-6626-5238-d3df-94e9f0a0019d" TargetMode="External"/><Relationship Id="rId79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703e3f21aace4a01b36f8cfa4070e01d&amp;showComments=1&amp;guid=6882be48-6626-5238-d3df-94e9f0a0019d" TargetMode="External"/><Relationship Id="rId78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eafcdbe8a6e74699aa7190fb060d4f9e&amp;showComments=1&amp;guid=6882be48-6626-5238-d3df-94e9f0a0019d" TargetMode="External"/><Relationship Id="rId939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aaae55eac5834d4aaa226b5e80f9741e&amp;showComments=1&amp;guid=6882be48-6626-5238-d3df-94e9f0a0019d" TargetMode="External"/><Relationship Id="rId938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4c9475df15734f9da3049cf59a8ac45b&amp;showComments=1&amp;guid=6882be48-6626-5238-d3df-94e9f0a0019d" TargetMode="External"/><Relationship Id="rId937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4c9475df15734f9da3049cf59a8ac45b&amp;showComments=1&amp;guid=6882be48-6626-5238-d3df-94e9f0a0019d" TargetMode="External"/><Relationship Id="rId71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3fefd035e0ef40d98be4f5e2b4c7952d&amp;showComments=1&amp;guid=6882be48-6626-5238-d3df-94e9f0a0019d" TargetMode="External"/><Relationship Id="rId70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c81af5444cde406aa9a9368d744a0b04&amp;showComments=1&amp;guid=6882be48-6626-5238-d3df-94e9f0a0019d" TargetMode="External"/><Relationship Id="rId932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" TargetMode="External"/><Relationship Id="rId931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" TargetMode="External"/><Relationship Id="rId930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e30d1bf902f744d199d778e6ce7ca7bd&amp;showComments=1&amp;guid=6882be48-6626-5238-d3df-94e9f0a0019d" TargetMode="External"/><Relationship Id="rId936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9243d61ed383497eae5c859ed5dad031&amp;showComments=1&amp;guid=6882be48-6626-5238-d3df-94e9f0a0019d" TargetMode="External"/><Relationship Id="rId935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9243d61ed383497eae5c859ed5dad031&amp;showComments=1&amp;guid=6882be48-6626-5238-d3df-94e9f0a0019d" TargetMode="External"/><Relationship Id="rId934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fc3acb6a20c742419ee8d9bbad582729&amp;showComments=1&amp;guid=6882be48-6626-5238-d3df-94e9f0a0019d" TargetMode="External"/><Relationship Id="rId933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fc3acb6a20c742419ee8d9bbad582729&amp;showComments=1&amp;guid=6882be48-6626-5238-d3df-94e9f0a0019d" TargetMode="External"/><Relationship Id="rId62" Type="http://schemas.openxmlformats.org/officeDocument/2006/relationships/hyperlink" Target="https://photos.google.com/search/2%C2%BAPav.-Hall%20Elevador%20Servi%C3%A7o" TargetMode="External"/><Relationship Id="rId61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ae4a173d9b514e4db71c242795dce105&amp;showComments=1&amp;guid=6882be48-6626-5238-d3df-94e9f0a0019d" TargetMode="External"/><Relationship Id="rId64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5f734b3fb3c045cfbd41782be16b890d&amp;showComments=1&amp;guid=6882be48-6626-5238-d3df-94e9f0a0019d" TargetMode="External"/><Relationship Id="rId63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5f734b3fb3c045cfbd41782be16b890d&amp;showComments=1&amp;guid=6882be48-6626-5238-d3df-94e9f0a0019d" TargetMode="External"/><Relationship Id="rId66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ad8076572aaf4dac9c8c5f39182c9f62&amp;showComments=1&amp;guid=6882be48-6626-5238-d3df-94e9f0a0019d" TargetMode="External"/><Relationship Id="rId65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ad8076572aaf4dac9c8c5f39182c9f62&amp;showComments=1&amp;guid=6882be48-6626-5238-d3df-94e9f0a0019d" TargetMode="External"/><Relationship Id="rId68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44c75d18dcca4ee091e205304633657b&amp;showComments=1&amp;guid=6882be48-6626-5238-d3df-94e9f0a0019d" TargetMode="External"/><Relationship Id="rId67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44c75d18dcca4ee091e205304633657b&amp;showComments=1&amp;guid=6882be48-6626-5238-d3df-94e9f0a0019d" TargetMode="External"/><Relationship Id="rId729" Type="http://schemas.openxmlformats.org/officeDocument/2006/relationships/hyperlink" Target="https://photos.google.com/search/Sala%20El%C3%A9trica%20QGBT.SE2" TargetMode="External"/><Relationship Id="rId728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1ab41e6d775744bc8c1dd394a222f87c&amp;showComments=1&amp;guid=6882be48-6626-5238-d3df-94e9f0a0019d" TargetMode="External"/><Relationship Id="rId60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ae4a173d9b514e4db71c242795dce105&amp;showComments=1&amp;guid=6882be48-6626-5238-d3df-94e9f0a0019d" TargetMode="External"/><Relationship Id="rId723" Type="http://schemas.openxmlformats.org/officeDocument/2006/relationships/hyperlink" Target="https://photos.google.com/search/Cob.-Sala%20de%20Exaust%C3%A3o%20-%20CM-C.9" TargetMode="External"/><Relationship Id="rId965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0806ad2e7d00476998bb7712ede5feb0&amp;showComments=1&amp;guid=6882be48-6626-5238-d3df-94e9f0a0019d" TargetMode="External"/><Relationship Id="rId722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21958ce5148745098284d40cf38fda26&amp;showComments=1&amp;guid=6882be48-6626-5238-d3df-94e9f0a0019d" TargetMode="External"/><Relationship Id="rId964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9229a3a92ab74eca81c97ab0d0fb5f54&amp;showComments=1&amp;guid=6882be48-6626-5238-d3df-94e9f0a0019d" TargetMode="External"/><Relationship Id="rId721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21958ce5148745098284d40cf38fda26&amp;showComments=1&amp;guid=6882be48-6626-5238-d3df-94e9f0a0019d" TargetMode="External"/><Relationship Id="rId963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9229a3a92ab74eca81c97ab0d0fb5f54&amp;showComments=1&amp;guid=6882be48-6626-5238-d3df-94e9f0a0019d" TargetMode="External"/><Relationship Id="rId720" Type="http://schemas.openxmlformats.org/officeDocument/2006/relationships/hyperlink" Target="https://photos.google.com/search/Cob.-Sala%20de%20Exaust%C3%A3o%20-%20CM-C.8" TargetMode="External"/><Relationship Id="rId962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425d5f9367374d7a814891b9196d7e4e&amp;showComments=1&amp;guid=6882be48-6626-5238-d3df-94e9f0a0019d" TargetMode="External"/><Relationship Id="rId727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1ab41e6d775744bc8c1dd394a222f87c&amp;showComments=1&amp;guid=6882be48-6626-5238-d3df-94e9f0a0019d" TargetMode="External"/><Relationship Id="rId969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d13203bd7bc44050b35f47342d496929&amp;showComments=1&amp;guid=6882be48-6626-5238-d3df-94e9f0a0019d" TargetMode="External"/><Relationship Id="rId726" Type="http://schemas.openxmlformats.org/officeDocument/2006/relationships/hyperlink" Target="https://photos.google.com/search/Cob.-Sala%20El%C3%A9trica%20QDGC" TargetMode="External"/><Relationship Id="rId968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" TargetMode="External"/><Relationship Id="rId725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82d74534a7e24f1cb001659ee27c7007&amp;showComments=1&amp;guid=6882be48-6626-5238-d3df-94e9f0a0019d" TargetMode="External"/><Relationship Id="rId967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" TargetMode="External"/><Relationship Id="rId724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82d74534a7e24f1cb001659ee27c7007&amp;showComments=1&amp;guid=6882be48-6626-5238-d3df-94e9f0a0019d" TargetMode="External"/><Relationship Id="rId966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0806ad2e7d00476998bb7712ede5feb0&amp;showComments=1&amp;guid=6882be48-6626-5238-d3df-94e9f0a0019d" TargetMode="External"/><Relationship Id="rId69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c81af5444cde406aa9a9368d744a0b04&amp;showComments=1&amp;guid=6882be48-6626-5238-d3df-94e9f0a0019d" TargetMode="External"/><Relationship Id="rId961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425d5f9367374d7a814891b9196d7e4e&amp;showComments=1&amp;guid=6882be48-6626-5238-d3df-94e9f0a0019d" TargetMode="External"/><Relationship Id="rId960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f04e62f4f7f94f1db1f5a10626b443b7&amp;showComments=1&amp;guid=6882be48-6626-5238-d3df-94e9f0a0019d" TargetMode="External"/><Relationship Id="rId51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84dfa0a6de464e138a15cfaf611ecaba&amp;showComments=1&amp;guid=6882be48-6626-5238-d3df-94e9f0a0019d" TargetMode="External"/><Relationship Id="rId50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84dfa0a6de464e138a15cfaf611ecaba&amp;showComments=1&amp;guid=6882be48-6626-5238-d3df-94e9f0a0019d" TargetMode="External"/><Relationship Id="rId53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e19ad5dfb0924c6cb3f6176ce8f6b140&amp;showComments=1&amp;guid=6882be48-6626-5238-d3df-94e9f0a0019d" TargetMode="External"/><Relationship Id="rId52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e19ad5dfb0924c6cb3f6176ce8f6b140&amp;showComments=1&amp;guid=6882be48-6626-5238-d3df-94e9f0a0019d" TargetMode="External"/><Relationship Id="rId55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662dfb8b50964380b3c7f176498ded32&amp;showComments=1&amp;guid=6882be48-6626-5238-d3df-94e9f0a0019d" TargetMode="External"/><Relationship Id="rId54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662dfb8b50964380b3c7f176498ded32&amp;showComments=1&amp;guid=6882be48-6626-5238-d3df-94e9f0a0019d" TargetMode="External"/><Relationship Id="rId57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5884c287db9648b39443a155542fd8c5&amp;showComments=1&amp;guid=6882be48-6626-5238-d3df-94e9f0a0019d" TargetMode="External"/><Relationship Id="rId56" Type="http://schemas.openxmlformats.org/officeDocument/2006/relationships/hyperlink" Target="https://photos.google.com/search/2%C2%BAPav.-Guich%C3%AA%20Atendimento%20FME" TargetMode="External"/><Relationship Id="rId719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2bb223adfbc14756ac536afba61394b4&amp;showComments=1&amp;guid=6882be48-6626-5238-d3df-94e9f0a0019d" TargetMode="External"/><Relationship Id="rId718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2bb223adfbc14756ac536afba61394b4&amp;showComments=1&amp;guid=6882be48-6626-5238-d3df-94e9f0a0019d" TargetMode="External"/><Relationship Id="rId717" Type="http://schemas.openxmlformats.org/officeDocument/2006/relationships/hyperlink" Target="https://photos.google.com/search/Cob.-Sala%20de%20Exaust%C3%A3o%20-%20CM-C.4" TargetMode="External"/><Relationship Id="rId959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f04e62f4f7f94f1db1f5a10626b443b7&amp;showComments=1&amp;guid=6882be48-6626-5238-d3df-94e9f0a0019d" TargetMode="External"/><Relationship Id="rId712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9512ef7ac1a744bb9b8e01a6fea6d6b7&amp;showComments=1&amp;guid=6882be48-6626-5238-d3df-94e9f0a0019d" TargetMode="External"/><Relationship Id="rId954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7f12d8ba135f41ef9791da43c75adb46&amp;showComments=1&amp;guid=6882be48-6626-5238-d3df-94e9f0a0019d" TargetMode="External"/><Relationship Id="rId711" Type="http://schemas.openxmlformats.org/officeDocument/2006/relationships/hyperlink" Target="https://photos.google.com/search/Cob.-Sala%20de%20Exaust%C3%A3o%20-%20CM-C.20" TargetMode="External"/><Relationship Id="rId953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7f12d8ba135f41ef9791da43c75adb46&amp;showComments=1&amp;guid=6882be48-6626-5238-d3df-94e9f0a0019d" TargetMode="External"/><Relationship Id="rId710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3af7f8aff31349d1b18fead0856e5906&amp;showComments=1&amp;guid=6882be48-6626-5238-d3df-94e9f0a0019d" TargetMode="External"/><Relationship Id="rId952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cec6adf4ddca4d7eb2e4c890545d477a&amp;showComments=1&amp;guid=6882be48-6626-5238-d3df-94e9f0a0019d" TargetMode="External"/><Relationship Id="rId951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cec6adf4ddca4d7eb2e4c890545d477a&amp;showComments=1&amp;guid=6882be48-6626-5238-d3df-94e9f0a0019d" TargetMode="External"/><Relationship Id="rId716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4a08ba87ef0842e497fb52e095a9c95b&amp;showComments=1&amp;guid=6882be48-6626-5238-d3df-94e9f0a0019d" TargetMode="External"/><Relationship Id="rId958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cd84a9bfd4ca4768a640c67e019a16e7&amp;showComments=1&amp;guid=6882be48-6626-5238-d3df-94e9f0a0019d" TargetMode="External"/><Relationship Id="rId715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4a08ba87ef0842e497fb52e095a9c95b&amp;showComments=1&amp;guid=6882be48-6626-5238-d3df-94e9f0a0019d" TargetMode="External"/><Relationship Id="rId957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cd84a9bfd4ca4768a640c67e019a16e7&amp;showComments=1&amp;guid=6882be48-6626-5238-d3df-94e9f0a0019d" TargetMode="External"/><Relationship Id="rId714" Type="http://schemas.openxmlformats.org/officeDocument/2006/relationships/hyperlink" Target="https://photos.google.com/search/Cob.-Sala%20de%20Exaust%C3%A3o%20-%20CM-C.3" TargetMode="External"/><Relationship Id="rId956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00bc90cbb49e47c284f645d62958ca2b&amp;showComments=1&amp;guid=6882be48-6626-5238-d3df-94e9f0a0019d" TargetMode="External"/><Relationship Id="rId713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9512ef7ac1a744bb9b8e01a6fea6d6b7&amp;showComments=1&amp;guid=6882be48-6626-5238-d3df-94e9f0a0019d" TargetMode="External"/><Relationship Id="rId955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00bc90cbb49e47c284f645d62958ca2b&amp;showComments=1&amp;guid=6882be48-6626-5238-d3df-94e9f0a0019d" TargetMode="External"/><Relationship Id="rId59" Type="http://schemas.openxmlformats.org/officeDocument/2006/relationships/hyperlink" Target="https://photos.google.com/search/2%C2%BAPav.-Hall%20Elevador%20P%C3%BAblico" TargetMode="External"/><Relationship Id="rId58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5884c287db9648b39443a155542fd8c5&amp;showComments=1&amp;guid=6882be48-6626-5238-d3df-94e9f0a0019d" TargetMode="External"/><Relationship Id="rId950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ee51689bd6094aefb68c7d3accda0fd5&amp;showComments=1&amp;guid=6882be48-6626-5238-d3df-94e9f0a0019d" TargetMode="External"/><Relationship Id="rId590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4866c1409b4a443a90ce96eb681b5b91" TargetMode="External"/><Relationship Id="rId107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02f3281f0bea49678d42e23673a35a02&amp;showComments=1&amp;guid=6882be48-6626-5238-d3df-94e9f0a0019d" TargetMode="External"/><Relationship Id="rId349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86800c9ae90a40bd979652e64a87513d&amp;showComments=1&amp;guid=6882be48-6626-5238-d3df-94e9f0a0019d" TargetMode="External"/><Relationship Id="rId106" Type="http://schemas.openxmlformats.org/officeDocument/2006/relationships/hyperlink" Target="https://photos.google.com/search/2%C2%BAPav.-Sala%20El%C3%A9trica%20QDG2%20-%20Rack%20CC%20-%20TI" TargetMode="External"/><Relationship Id="rId348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86800c9ae90a40bd979652e64a87513d&amp;showComments=1&amp;guid=6882be48-6626-5238-d3df-94e9f0a0019d" TargetMode="External"/><Relationship Id="rId105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38de5a7eef1848e697e4843a379d27d8&amp;showComments=1&amp;guid=6882be48-6626-5238-d3df-94e9f0a0019d" TargetMode="External"/><Relationship Id="rId347" Type="http://schemas.openxmlformats.org/officeDocument/2006/relationships/hyperlink" Target="https://photos.google.com/search/4%C2%BAPav.-Prescri%C3%A7%C3%A3o%201" TargetMode="External"/><Relationship Id="rId589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4866c1409b4a443a90ce96eb681b5b91" TargetMode="External"/><Relationship Id="rId104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38de5a7eef1848e697e4843a379d27d8&amp;showComments=1&amp;guid=6882be48-6626-5238-d3df-94e9f0a0019d" TargetMode="External"/><Relationship Id="rId346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8638f2a334684796a137a81a4383ead2&amp;showComments=1&amp;guid=6882be48-6626-5238-d3df-94e9f0a0019d" TargetMode="External"/><Relationship Id="rId588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39f08209f2f44911885934048989da98&amp;showComments=1&amp;guid=6882be48-6626-5238-d3df-94e9f0a0019d" TargetMode="External"/><Relationship Id="rId109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a9b82bd8b4fc4428baab5e25ee4c96f8&amp;showComments=1&amp;guid=6882be48-6626-5238-d3df-94e9f0a0019d" TargetMode="External"/><Relationship Id="rId108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02f3281f0bea49678d42e23673a35a02&amp;showComments=1&amp;guid=6882be48-6626-5238-d3df-94e9f0a0019d" TargetMode="External"/><Relationship Id="rId341" Type="http://schemas.openxmlformats.org/officeDocument/2006/relationships/hyperlink" Target="https://photos.google.com/search/4%C2%BAPav.-Posto%20de%20Enfermagem%201" TargetMode="External"/><Relationship Id="rId583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ea1801b492a54a66b588da20dc909762&amp;showComments=1&amp;guid=6882be48-6626-5238-d3df-94e9f0a0019d" TargetMode="External"/><Relationship Id="rId340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1a3e1d801d9d44699df66ce3a874c56f&amp;showComments=1&amp;guid=6882be48-6626-5238-d3df-94e9f0a0019d" TargetMode="External"/><Relationship Id="rId582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0417d54895334cb8a0dedc641cd1ca17" TargetMode="External"/><Relationship Id="rId581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0417d54895334cb8a0dedc641cd1ca17" TargetMode="External"/><Relationship Id="rId580" Type="http://schemas.openxmlformats.org/officeDocument/2006/relationships/hyperlink" Target="https://photos.google.com/search/6%C2%BAPav.-Dep%C3%B3sito%20Tempor%C3%A1rio%20de%20Res%C3%ADduos" TargetMode="External"/><Relationship Id="rId103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226c5d2ecd814695b969d78e600b7ea3&amp;showComments=1&amp;guid=6882be48-6626-5238-d3df-94e9f0a0019d" TargetMode="External"/><Relationship Id="rId345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8638f2a334684796a137a81a4383ead2&amp;showComments=1&amp;guid=6882be48-6626-5238-d3df-94e9f0a0019d" TargetMode="External"/><Relationship Id="rId587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39f08209f2f44911885934048989da98&amp;showComments=1&amp;guid=6882be48-6626-5238-d3df-94e9f0a0019d" TargetMode="External"/><Relationship Id="rId102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226c5d2ecd814695b969d78e600b7ea3&amp;showComments=1&amp;guid=6882be48-6626-5238-d3df-94e9f0a0019d" TargetMode="External"/><Relationship Id="rId344" Type="http://schemas.openxmlformats.org/officeDocument/2006/relationships/hyperlink" Target="https://photos.google.com/search/4%C2%BAPav.-Posto%20de%20Enfermagem%201" TargetMode="External"/><Relationship Id="rId586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688b4ad00c9d4f828d4a7519a9a13970" TargetMode="External"/><Relationship Id="rId101" Type="http://schemas.openxmlformats.org/officeDocument/2006/relationships/hyperlink" Target="https://photos.google.com/search/2%C2%BAPav.-Sala%20de%20Reuni%C3%B5es" TargetMode="External"/><Relationship Id="rId343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74ee359d8bd1475095a2375983d6f4d5&amp;showComments=1&amp;guid=6882be48-6626-5238-d3df-94e9f0a0019d" TargetMode="External"/><Relationship Id="rId585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688b4ad00c9d4f828d4a7519a9a13970" TargetMode="External"/><Relationship Id="rId100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24c0bdb37c184ba5b47fb606eee9c426&amp;showComments=1&amp;guid=6882be48-6626-5238-d3df-94e9f0a0019d" TargetMode="External"/><Relationship Id="rId342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74ee359d8bd1475095a2375983d6f4d5&amp;showComments=1&amp;guid=6882be48-6626-5238-d3df-94e9f0a0019d" TargetMode="External"/><Relationship Id="rId584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ea1801b492a54a66b588da20dc909762&amp;showComments=1&amp;guid=6882be48-6626-5238-d3df-94e9f0a0019d" TargetMode="External"/><Relationship Id="rId338" Type="http://schemas.openxmlformats.org/officeDocument/2006/relationships/hyperlink" Target="https://photos.google.com/search/4%C2%BAPav.-Hall%20Elevador%20Servi%C3%A7o" TargetMode="External"/><Relationship Id="rId337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showComments=1&amp;guid=6882be48-6626-5238-d3df-94e9f0a0019d" TargetMode="External"/><Relationship Id="rId579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33094f1079654999871dcf36fa5e8f0b&amp;showComments=1&amp;guid=6882be48-6626-5238-d3df-94e9f0a0019d" TargetMode="External"/><Relationship Id="rId336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showComments=1&amp;guid=6882be48-6626-5238-d3df-94e9f0a0019d" TargetMode="External"/><Relationship Id="rId578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33094f1079654999871dcf36fa5e8f0b&amp;showComments=1&amp;guid=6882be48-6626-5238-d3df-94e9f0a0019d" TargetMode="External"/><Relationship Id="rId335" Type="http://schemas.openxmlformats.org/officeDocument/2006/relationships/hyperlink" Target="https://photos.google.com/search/4%C2%BAPav.-Hall%20Elevador%20P%C3%BAblico" TargetMode="External"/><Relationship Id="rId577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505a539655674689a8632cb60ba9fdc3&amp;showComments=1&amp;guid=6882be48-6626-5238-d3df-94e9f0a0019d" TargetMode="External"/><Relationship Id="rId339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1a3e1d801d9d44699df66ce3a874c56f&amp;showComments=1&amp;guid=6882be48-6626-5238-d3df-94e9f0a0019d" TargetMode="External"/><Relationship Id="rId330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showComments=1&amp;guid=6882be48-6626-5238-d3df-94e9f0a0019d&amp;commentId=urn:adsk.comments:social.comment:99b431af87e74918b495827dbd16cb5c" TargetMode="External"/><Relationship Id="rId572" Type="http://schemas.openxmlformats.org/officeDocument/2006/relationships/hyperlink" Target="https://photos.google.com/search/6%C2%BAPav.-Corredor%20Central%20Setor%20A" TargetMode="External"/><Relationship Id="rId571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2a836f909ca44bdfb6a3d7de81b142c1&amp;showComments=1&amp;guid=6882be48-6626-5238-d3df-94e9f0a0019d" TargetMode="External"/><Relationship Id="rId570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2a836f909ca44bdfb6a3d7de81b142c1&amp;showComments=1&amp;guid=6882be48-6626-5238-d3df-94e9f0a0019d" TargetMode="External"/><Relationship Id="rId334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06240a348e8642a787552bea1c7e455a&amp;showComments=1&amp;guid=6882be48-6626-5238-d3df-94e9f0a0019d" TargetMode="External"/><Relationship Id="rId576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505a539655674689a8632cb60ba9fdc3&amp;showComments=1&amp;guid=6882be48-6626-5238-d3df-94e9f0a0019d" TargetMode="External"/><Relationship Id="rId333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06240a348e8642a787552bea1c7e455a&amp;showComments=1&amp;guid=6882be48-6626-5238-d3df-94e9f0a0019d" TargetMode="External"/><Relationship Id="rId575" Type="http://schemas.openxmlformats.org/officeDocument/2006/relationships/hyperlink" Target="https://photos.google.com/search/6%C2%BAPav.-Corredor%20Central%20Setor%20B" TargetMode="External"/><Relationship Id="rId332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d7de7c450889480398541df2bae48caa&amp;showComments=1&amp;guid=6882be48-6626-5238-d3df-94e9f0a0019d" TargetMode="External"/><Relationship Id="rId574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05ea34c7a56545769ceff2062c506071&amp;showComments=1&amp;guid=6882be48-6626-5238-d3df-94e9f0a0019d" TargetMode="External"/><Relationship Id="rId331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d7de7c450889480398541df2bae48caa&amp;showComments=1&amp;guid=6882be48-6626-5238-d3df-94e9f0a0019d" TargetMode="External"/><Relationship Id="rId573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05ea34c7a56545769ceff2062c506071&amp;showComments=1&amp;guid=6882be48-6626-5238-d3df-94e9f0a0019d" TargetMode="External"/><Relationship Id="rId370" Type="http://schemas.openxmlformats.org/officeDocument/2006/relationships/hyperlink" Target="https://photos.google.com/search/4%C2%BAPav.-Sala%20de%20Roud" TargetMode="External"/><Relationship Id="rId129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8206b7d9ab114dbdb1ff6d03b45af280&amp;showComments=1&amp;guid=6882be48-6626-5238-d3df-94e9f0a0019d" TargetMode="External"/><Relationship Id="rId128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8206b7d9ab114dbdb1ff6d03b45af280&amp;showComments=1&amp;guid=6882be48-6626-5238-d3df-94e9f0a0019d" TargetMode="External"/><Relationship Id="rId127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showComments=1&amp;guid=6882be48-6626-5238-d3df-94e9f0a0019d&amp;commentId=urn:adsk.comments:social.comment:7e1a774a3f424fada2bc0848b870fd72" TargetMode="External"/><Relationship Id="rId369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5fb4c275638145c8b7ecf5751d064bf0&amp;showComments=1&amp;guid=6882be48-6626-5238-d3df-94e9f0a0019d" TargetMode="External"/><Relationship Id="rId126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showComments=1&amp;guid=6882be48-6626-5238-d3df-94e9f0a0019d&amp;commentId=urn:adsk.comments:social.comment:7e1a774a3f424fada2bc0848b870fd72" TargetMode="External"/><Relationship Id="rId368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5fb4c275638145c8b7ecf5751d064bf0&amp;showComments=1&amp;guid=6882be48-6626-5238-d3df-94e9f0a0019d" TargetMode="External"/><Relationship Id="rId121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571368bb4eb04125b723d3a616ba9ba9&amp;showComments=1&amp;guid=6882be48-6626-5238-d3df-94e9f0a0019d" TargetMode="External"/><Relationship Id="rId363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d489e7256efb47629b450b4ff4d556b2&amp;showComments=1&amp;guid=6882be48-6626-5238-d3df-94e9f0a0019d" TargetMode="External"/><Relationship Id="rId120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571368bb4eb04125b723d3a616ba9ba9&amp;showComments=1&amp;guid=6882be48-6626-5238-d3df-94e9f0a0019d" TargetMode="External"/><Relationship Id="rId362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c6331289651e402ba163db56967fec5c&amp;showComments=1&amp;guid=6882be48-6626-5238-d3df-94e9f0a0019d" TargetMode="External"/><Relationship Id="rId361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c6331289651e402ba163db56967fec5c&amp;showComments=1&amp;guid=6882be48-6626-5238-d3df-94e9f0a0019d" TargetMode="External"/><Relationship Id="rId360" Type="http://schemas.openxmlformats.org/officeDocument/2006/relationships/hyperlink" Target="https://photos.google.com/search/4%C2%BAPav.-Sala%20Conforto%20Acompanhantes" TargetMode="External"/><Relationship Id="rId125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643bccc6b5cf4819a51a488e7ef786fc&amp;showComments=1&amp;guid=6882be48-6626-5238-d3df-94e9f0a0019d" TargetMode="External"/><Relationship Id="rId367" Type="http://schemas.openxmlformats.org/officeDocument/2006/relationships/hyperlink" Target="https://photos.google.com/search/4%C2%BAPav.-Sala%20de%20Exames%20e%20Curativos" TargetMode="External"/><Relationship Id="rId124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643bccc6b5cf4819a51a488e7ef786fc&amp;showComments=1&amp;guid=6882be48-6626-5238-d3df-94e9f0a0019d" TargetMode="External"/><Relationship Id="rId366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e550f2ecf4ed496895f3f5b33f0f67a3&amp;showComments=1&amp;guid=6882be48-6626-5238-d3df-94e9f0a0019d" TargetMode="External"/><Relationship Id="rId123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deed020b679c435b80d4c6d766c47bf1&amp;showComments=1&amp;guid=6882be48-6626-5238-d3df-94e9f0a0019d" TargetMode="External"/><Relationship Id="rId365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e550f2ecf4ed496895f3f5b33f0f67a3&amp;showComments=1&amp;guid=6882be48-6626-5238-d3df-94e9f0a0019d" TargetMode="External"/><Relationship Id="rId122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deed020b679c435b80d4c6d766c47bf1&amp;showComments=1&amp;guid=6882be48-6626-5238-d3df-94e9f0a0019d" TargetMode="External"/><Relationship Id="rId364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d489e7256efb47629b450b4ff4d556b2&amp;showComments=1&amp;guid=6882be48-6626-5238-d3df-94e9f0a0019d" TargetMode="External"/><Relationship Id="rId95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0086b26a3b714780af457cfa039d6d85&amp;showComments=1&amp;guid=6882be48-6626-5238-d3df-94e9f0a0019d" TargetMode="External"/><Relationship Id="rId94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0086b26a3b714780af457cfa039d6d85&amp;showComments=1&amp;guid=6882be48-6626-5238-d3df-94e9f0a0019d" TargetMode="External"/><Relationship Id="rId97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8e76595fb45d4f6b89996f60c3ceb696&amp;showComments=1&amp;guid=6882be48-6626-5238-d3df-94e9f0a0019d" TargetMode="External"/><Relationship Id="rId96" Type="http://schemas.openxmlformats.org/officeDocument/2006/relationships/hyperlink" Target="https://photos.google.com/search/2%C2%BAPav.-Sala%20de%20Duto%20-%20CM2.4" TargetMode="External"/><Relationship Id="rId99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24c0bdb37c184ba5b47fb606eee9c426&amp;showComments=1&amp;guid=6882be48-6626-5238-d3df-94e9f0a0019d" TargetMode="External"/><Relationship Id="rId98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8e76595fb45d4f6b89996f60c3ceb696&amp;showComments=1&amp;guid=6882be48-6626-5238-d3df-94e9f0a0019d" TargetMode="External"/><Relationship Id="rId91" Type="http://schemas.openxmlformats.org/officeDocument/2006/relationships/hyperlink" Target="https://photos.google.com/search/2%C2%BAPav.-Sala%20Ar%20Condicionado%20-%20CM2.3" TargetMode="External"/><Relationship Id="rId90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1a69400125954ca6b40443e70a5785ee&amp;showComments=1&amp;guid=6882be48-6626-5238-d3df-94e9f0a0019d" TargetMode="External"/><Relationship Id="rId93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da9a66e0dff441009ea525dc99685e0f&amp;showComments=1&amp;guid=6882be48-6626-5238-d3df-94e9f0a0019d" TargetMode="External"/><Relationship Id="rId92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da9a66e0dff441009ea525dc99685e0f&amp;showComments=1&amp;guid=6882be48-6626-5238-d3df-94e9f0a0019d" TargetMode="External"/><Relationship Id="rId118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38b6eabaf89648bd82451f8658809d73&amp;showComments=1&amp;guid=6882be48-6626-5238-d3df-94e9f0a0019d" TargetMode="External"/><Relationship Id="rId117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38b6eabaf89648bd82451f8658809d73&amp;showComments=1&amp;guid=6882be48-6626-5238-d3df-94e9f0a0019d" TargetMode="External"/><Relationship Id="rId359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8fdb86adc7df40529b3f3c9f0dc83d3c&amp;showComments=1&amp;guid=6882be48-6626-5238-d3df-94e9f0a0019d" TargetMode="External"/><Relationship Id="rId116" Type="http://schemas.openxmlformats.org/officeDocument/2006/relationships/hyperlink" Target="https://photos.google.com/search/2%C2%BAPav.-Sala%20Rack%20DD%20-%20TI" TargetMode="External"/><Relationship Id="rId358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8fdb86adc7df40529b3f3c9f0dc83d3c&amp;showComments=1&amp;guid=6882be48-6626-5238-d3df-94e9f0a0019d" TargetMode="External"/><Relationship Id="rId115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7649ca4e8e884efda90d9421f9bc03cd&amp;showComments=1&amp;guid=6882be48-6626-5238-d3df-94e9f0a0019d" TargetMode="External"/><Relationship Id="rId357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dd76477db00a41179e27c201e9e0cc01&amp;showComments=1&amp;guid=6882be48-6626-5238-d3df-94e9f0a0019d" TargetMode="External"/><Relationship Id="rId599" Type="http://schemas.openxmlformats.org/officeDocument/2006/relationships/hyperlink" Target="https://photos.google.com/search/6%C2%BAPav.-Sala%20Ar%20Condicionado%20-%20CM6.1" TargetMode="External"/><Relationship Id="rId119" Type="http://schemas.openxmlformats.org/officeDocument/2006/relationships/hyperlink" Target="https://photos.google.com/search/2%C2%BAPav.-Sala%20Tubo%20Pneum%C3%A1tico" TargetMode="External"/><Relationship Id="rId110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a9b82bd8b4fc4428baab5e25ee4c96f8&amp;showComments=1&amp;guid=6882be48-6626-5238-d3df-94e9f0a0019d" TargetMode="External"/><Relationship Id="rId352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bc85d873cfdc4462958199c22abd1c62&amp;showComments=1&amp;guid=6882be48-6626-5238-d3df-94e9f0a0019d" TargetMode="External"/><Relationship Id="rId594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ca6629b8ef68466baa7b884cc853f096" TargetMode="External"/><Relationship Id="rId351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bc85d873cfdc4462958199c22abd1c62&amp;showComments=1&amp;guid=6882be48-6626-5238-d3df-94e9f0a0019d" TargetMode="External"/><Relationship Id="rId593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ca6629b8ef68466baa7b884cc853f096" TargetMode="External"/><Relationship Id="rId350" Type="http://schemas.openxmlformats.org/officeDocument/2006/relationships/hyperlink" Target="https://photos.google.com/search/4%C2%BAPav.-Prescri%C3%A7%C3%A3o%202" TargetMode="External"/><Relationship Id="rId592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5a4d2f5cca0f44b68129d2935c15a136" TargetMode="External"/><Relationship Id="rId591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5a4d2f5cca0f44b68129d2935c15a136" TargetMode="External"/><Relationship Id="rId114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7649ca4e8e884efda90d9421f9bc03cd&amp;showComments=1&amp;guid=6882be48-6626-5238-d3df-94e9f0a0019d" TargetMode="External"/><Relationship Id="rId356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dd76477db00a41179e27c201e9e0cc01&amp;showComments=1&amp;guid=6882be48-6626-5238-d3df-94e9f0a0019d" TargetMode="External"/><Relationship Id="rId598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06120bc0012845b0a7f3e3253ffe1ccb&amp;showComments=1&amp;guid=6882be48-6626-5238-d3df-94e9f0a0019d" TargetMode="External"/><Relationship Id="rId113" Type="http://schemas.openxmlformats.org/officeDocument/2006/relationships/hyperlink" Target="https://photos.google.com/search/2%C2%BAPav.-Sala%20para%20Espera%20Paciente%20Maca" TargetMode="External"/><Relationship Id="rId355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7a77ebd5487c4d6aaef28a21fab56c32&amp;showComments=1&amp;guid=6882be48-6626-5238-d3df-94e9f0a0019d" TargetMode="External"/><Relationship Id="rId597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06120bc0012845b0a7f3e3253ffe1ccb&amp;showComments=1&amp;guid=6882be48-6626-5238-d3df-94e9f0a0019d" TargetMode="External"/><Relationship Id="rId112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3b39ec8c0f2b4a93b7c9fe0e8ad6a1b2&amp;showComments=1&amp;guid=6882be48-6626-5238-d3df-94e9f0a0019d" TargetMode="External"/><Relationship Id="rId354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7a77ebd5487c4d6aaef28a21fab56c32&amp;showComments=1&amp;guid=6882be48-6626-5238-d3df-94e9f0a0019d" TargetMode="External"/><Relationship Id="rId596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81c71b0fa0c74d6381d3f48832179176" TargetMode="External"/><Relationship Id="rId111" Type="http://schemas.openxmlformats.org/officeDocument/2006/relationships/hyperlink" Target="https://myhub.autodesk360.com/ue29d95bb/g/projects/20210514412106331/data/dXJuOmFkc2sud2lwcHJvZDpmcy5mb2xkZXI6Y28ucU04eGNtQzdReXliS0NURmJQYUFTQQ/dXJuOmFkc2sud2lwcHJvZDpkbS5saW5lYWdlOlh4SzhZNFhHVEN5WDNPT29yLUd3WlE/viewer?version=1&amp;commentId=urn:adsk.comments:social.comment:3b39ec8c0f2b4a93b7c9fe0e8ad6a1b2&amp;showComments=1&amp;guid=6882be48-6626-5238-d3df-94e9f0a0019d" TargetMode="External"/><Relationship Id="rId353" Type="http://schemas.openxmlformats.org/officeDocument/2006/relationships/hyperlink" Target="https://photos.google.com/search/4%C2%BAPav.-Rouparia%201" TargetMode="External"/><Relationship Id="rId595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81c71b0fa0c74d6381d3f48832179176" TargetMode="External"/><Relationship Id="rId305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showComments=1&amp;guid=6882be48-6626-5238-d3df-94e9f0a0019d" TargetMode="External"/><Relationship Id="rId547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e100c75163804d8abafa208d6f2e2dfa" TargetMode="External"/><Relationship Id="rId789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a37a61e2a61b439cadef1c453b37f071&amp;showComments=1&amp;guid=6882be48-6626-5238-d3df-94e9f0a0019d" TargetMode="External"/><Relationship Id="rId304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bfb23c51b77540b7b16ca78115e003a5&amp;showComments=1&amp;guid=6882be48-6626-5238-d3df-94e9f0a0019d" TargetMode="External"/><Relationship Id="rId546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e100c75163804d8abafa208d6f2e2dfa" TargetMode="External"/><Relationship Id="rId788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a37a61e2a61b439cadef1c453b37f071&amp;showComments=1&amp;guid=6882be48-6626-5238-d3df-94e9f0a0019d" TargetMode="External"/><Relationship Id="rId303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bfb23c51b77540b7b16ca78115e003a5&amp;showComments=1&amp;guid=6882be48-6626-5238-d3df-94e9f0a0019d" TargetMode="External"/><Relationship Id="rId545" Type="http://schemas.openxmlformats.org/officeDocument/2006/relationships/hyperlink" Target="https://photos.google.com/share/AF1QipNtIAUKYKdqQNrU1p28J5tbim1_p4pkWRFMPbgmOQDMWRwZJYi4dP21Sm7H-cF97g?key=QUFhMDFmWHBwZVFqajFTVkpOZU5QVnE3eHo5SkVn" TargetMode="External"/><Relationship Id="rId787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55a1e05583674f538c0abdf9f6882544&amp;showComments=1&amp;guid=6882be48-6626-5238-d3df-94e9f0a0019d" TargetMode="External"/><Relationship Id="rId302" Type="http://schemas.openxmlformats.org/officeDocument/2006/relationships/hyperlink" Target="https://photos.google.com/share/AF1QipNzZwWv7KemIzTr7iw4t88WAUphrp6rC4JX9ehxZ_xuzPz5D0C3Dm52A2T2KWZ5Ww?key=bWRZajdNenludURnR1hBRzhCSG9GblRMOUtmUnpB" TargetMode="External"/><Relationship Id="rId544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39f08209f2f44911885934048989da98&amp;showComments=1&amp;guid=6882be48-6626-5238-d3df-94e9f0a0019d" TargetMode="External"/><Relationship Id="rId786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55a1e05583674f538c0abdf9f6882544&amp;showComments=1&amp;guid=6882be48-6626-5238-d3df-94e9f0a0019d" TargetMode="External"/><Relationship Id="rId309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showComments=1&amp;guid=6882be48-6626-5238-d3df-94e9f0a0019d" TargetMode="External"/><Relationship Id="rId308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showComments=1&amp;guid=6882be48-6626-5238-d3df-94e9f0a0019d" TargetMode="External"/><Relationship Id="rId307" Type="http://schemas.openxmlformats.org/officeDocument/2006/relationships/hyperlink" Target="https://photos.google.com/search/4%C2%BAPav.-Antec%C3%A2mara%20Setor%20B" TargetMode="External"/><Relationship Id="rId549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0eda47a2277b47b18cd5b5016f0b8120" TargetMode="External"/><Relationship Id="rId306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showComments=1&amp;guid=6882be48-6626-5238-d3df-94e9f0a0019d" TargetMode="External"/><Relationship Id="rId548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0eda47a2277b47b18cd5b5016f0b8120" TargetMode="External"/><Relationship Id="rId781" Type="http://schemas.openxmlformats.org/officeDocument/2006/relationships/hyperlink" Target="https://myhub.autodesk360.com/ue29d95bb/g/projects/20210514412106331/data/dXJuOmFkc2sud2lwcHJvZDpmcy5mb2xkZXI6Y28ub0w2UWRaWTlUcVNaaS1qRU0weWpSUQ/dXJuOmFkc2sud2lwcHJvZDpkbS5saW5lYWdlOndoSXRtcW9TUWd5dWhjdnlpblNUZUE/viewer?version=1&amp;showComments=1&amp;guid=6882be48-6626-5238-d3df-94e9f0a0019d" TargetMode="External"/><Relationship Id="rId780" Type="http://schemas.openxmlformats.org/officeDocument/2006/relationships/hyperlink" Target="https://myhub.autodesk360.com/ue29d95bb/g/projects/20210514412106331/data/dXJuOmFkc2sud2lwcHJvZDpmcy5mb2xkZXI6Y28ub0w2UWRaWTlUcVNaaS1qRU0weWpSUQ/dXJuOmFkc2sud2lwcHJvZDpkbS5saW5lYWdlOndoSXRtcW9TUWd5dWhjdnlpblNUZUE/viewer?version=1&amp;showComments=1&amp;guid=6882be48-6626-5238-d3df-94e9f0a0019d" TargetMode="External"/><Relationship Id="rId301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showComments=1&amp;guid=6882be48-6626-5238-d3df-94e9f0a0019d" TargetMode="External"/><Relationship Id="rId543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39f08209f2f44911885934048989da98&amp;showComments=1&amp;guid=6882be48-6626-5238-d3df-94e9f0a0019d" TargetMode="External"/><Relationship Id="rId785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1141d661e87a48eca3972105f1629553&amp;showComments=1&amp;guid=6882be48-6626-5238-d3df-94e9f0a0019d" TargetMode="External"/><Relationship Id="rId300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showComments=1&amp;guid=6882be48-6626-5238-d3df-94e9f0a0019d" TargetMode="External"/><Relationship Id="rId542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5a7bdd92878b42c18f910b518833705c&amp;showComments=1&amp;guid=6882be48-6626-5238-d3df-94e9f0a0019d" TargetMode="External"/><Relationship Id="rId784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1141d661e87a48eca3972105f1629553&amp;showComments=1&amp;guid=6882be48-6626-5238-d3df-94e9f0a0019d" TargetMode="External"/><Relationship Id="rId541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5a7bdd92878b42c18f910b518833705c&amp;showComments=1&amp;guid=6882be48-6626-5238-d3df-94e9f0a0019d" TargetMode="External"/><Relationship Id="rId783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dd33f0b38dec4385a2de65a9b637f072&amp;showComments=1&amp;guid=6882be48-6626-5238-d3df-94e9f0a0019d" TargetMode="External"/><Relationship Id="rId540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showComments=1&amp;guid=6882be48-6626-5238-d3df-94e9f0a0019d&amp;commentId=urn:adsk.comments:social.comment:b34c131928ba4f519533e6ee9809e0f0" TargetMode="External"/><Relationship Id="rId782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dd33f0b38dec4385a2de65a9b637f072&amp;showComments=1&amp;guid=6882be48-6626-5238-d3df-94e9f0a0019d" TargetMode="External"/><Relationship Id="rId536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a22a95a6470a49ce9b541a34c318efe7&amp;showComments=1&amp;guid=6882be48-6626-5238-d3df-94e9f0a0019d" TargetMode="External"/><Relationship Id="rId778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57173a819abc4722a6e8b18affbf4fac&amp;showComments=1&amp;guid=6882be48-6626-5238-d3df-94e9f0a0019d" TargetMode="External"/><Relationship Id="rId535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a22a95a6470a49ce9b541a34c318efe7&amp;showComments=1&amp;guid=6882be48-6626-5238-d3df-94e9f0a0019d" TargetMode="External"/><Relationship Id="rId777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57173a819abc4722a6e8b18affbf4fac&amp;showComments=1&amp;guid=6882be48-6626-5238-d3df-94e9f0a0019d" TargetMode="External"/><Relationship Id="rId534" Type="http://schemas.openxmlformats.org/officeDocument/2006/relationships/hyperlink" Target="https://photos.google.com/search/5%C2%BAPav.-Sala%20Rack%20JJ%20-%20TI" TargetMode="External"/><Relationship Id="rId776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2702baeaa41f4480b9a531fe3caeff82&amp;showComments=1&amp;guid=6882be48-6626-5238-d3df-94e9f0a0019d" TargetMode="External"/><Relationship Id="rId533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8439c6c0d0f7402c927d29f6aab7dfad&amp;showComments=1&amp;guid=6882be48-6626-5238-d3df-94e9f0a0019d" TargetMode="External"/><Relationship Id="rId775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2702baeaa41f4480b9a531fe3caeff82&amp;showComments=1&amp;guid=6882be48-6626-5238-d3df-94e9f0a0019d" TargetMode="External"/><Relationship Id="rId539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showComments=1&amp;guid=6882be48-6626-5238-d3df-94e9f0a0019d&amp;commentId=urn:adsk.comments:social.comment:b34c131928ba4f519533e6ee9809e0f0" TargetMode="External"/><Relationship Id="rId538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b617ed3d65d34951b3b3341795d8783d&amp;showComments=1&amp;guid=6882be48-6626-5238-d3df-94e9f0a0019d" TargetMode="External"/><Relationship Id="rId537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b617ed3d65d34951b3b3341795d8783d&amp;showComments=1&amp;guid=6882be48-6626-5238-d3df-94e9f0a0019d" TargetMode="External"/><Relationship Id="rId779" Type="http://schemas.openxmlformats.org/officeDocument/2006/relationships/hyperlink" Target="https://photos.google.com/search/ME-Hall%20Elevador%20Servi%C3%A7o" TargetMode="External"/><Relationship Id="rId770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012937fd653f45a496447490a495064c&amp;showComments=1&amp;guid=6882be48-6626-5238-d3df-94e9f0a0019d" TargetMode="External"/><Relationship Id="rId532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8439c6c0d0f7402c927d29f6aab7dfad&amp;showComments=1&amp;guid=6882be48-6626-5238-d3df-94e9f0a0019d" TargetMode="External"/><Relationship Id="rId774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c8168eec5abd4aefa9c0fc12f1029d6b&amp;showComments=1&amp;guid=6882be48-6626-5238-d3df-94e9f0a0019d" TargetMode="External"/><Relationship Id="rId531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1c007d4053bf4da0bf811a87f6f6e0ad&amp;showComments=1&amp;guid=6882be48-6626-5238-d3df-94e9f0a0019d" TargetMode="External"/><Relationship Id="rId773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c8168eec5abd4aefa9c0fc12f1029d6b&amp;showComments=1&amp;guid=6882be48-6626-5238-d3df-94e9f0a0019d" TargetMode="External"/><Relationship Id="rId530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1c007d4053bf4da0bf811a87f6f6e0ad&amp;showComments=1&amp;guid=6882be48-6626-5238-d3df-94e9f0a0019d" TargetMode="External"/><Relationship Id="rId772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" TargetMode="External"/><Relationship Id="rId771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" TargetMode="External"/><Relationship Id="rId327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64d3da25bfb141a68b86c6ad7309b561&amp;showComments=1&amp;guid=6882be48-6626-5238-d3df-94e9f0a0019d" TargetMode="External"/><Relationship Id="rId569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68ed87fd48e0425b89bbad150305d161" TargetMode="External"/><Relationship Id="rId326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showComments=1&amp;guid=6882be48-6626-5238-d3df-94e9f0a0019d" TargetMode="External"/><Relationship Id="rId568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68ed87fd48e0425b89bbad150305d161" TargetMode="External"/><Relationship Id="rId325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showComments=1&amp;guid=6882be48-6626-5238-d3df-94e9f0a0019d" TargetMode="External"/><Relationship Id="rId567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4d4b3c2ccdaf4b62aecb4821936fcbf2" TargetMode="External"/><Relationship Id="rId324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showComments=1&amp;guid=6882be48-6626-5238-d3df-94e9f0a0019d" TargetMode="External"/><Relationship Id="rId566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4d4b3c2ccdaf4b62aecb4821936fcbf2" TargetMode="External"/><Relationship Id="rId329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showComments=1&amp;guid=6882be48-6626-5238-d3df-94e9f0a0019d&amp;commentId=urn:adsk.comments:social.comment:99b431af87e74918b495827dbd16cb5c" TargetMode="External"/><Relationship Id="rId328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64d3da25bfb141a68b86c6ad7309b561&amp;showComments=1&amp;guid=6882be48-6626-5238-d3df-94e9f0a0019d" TargetMode="External"/><Relationship Id="rId561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5dc88d3d3a0344e9a78c92ad7c8a68e3" TargetMode="External"/><Relationship Id="rId560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5dc88d3d3a0344e9a78c92ad7c8a68e3" TargetMode="External"/><Relationship Id="rId323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showComments=1&amp;guid=6882be48-6626-5238-d3df-94e9f0a0019d" TargetMode="External"/><Relationship Id="rId565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8ac6814487194187b226024c2235a16f" TargetMode="External"/><Relationship Id="rId322" Type="http://schemas.openxmlformats.org/officeDocument/2006/relationships/hyperlink" Target="https://photos.google.com/search/4%C2%BAPav.-Corredor%20Central%20Setor%20B" TargetMode="External"/><Relationship Id="rId564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8ac6814487194187b226024c2235a16f" TargetMode="External"/><Relationship Id="rId321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f0ba4fc402ce4c1a80cb9569903c6933&amp;showComments=1&amp;guid=6882be48-6626-5238-d3df-94e9f0a0019d" TargetMode="External"/><Relationship Id="rId563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b9bc5347f11e44a88634eeae6d13ee3e" TargetMode="External"/><Relationship Id="rId320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f0ba4fc402ce4c1a80cb9569903c6933&amp;showComments=1&amp;guid=6882be48-6626-5238-d3df-94e9f0a0019d" TargetMode="External"/><Relationship Id="rId562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b9bc5347f11e44a88634eeae6d13ee3e" TargetMode="External"/><Relationship Id="rId316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bc79981087bd4f24af33066331f5ffb3&amp;showComments=1&amp;guid=6882be48-6626-5238-d3df-94e9f0a0019d" TargetMode="External"/><Relationship Id="rId558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0141da7032454e30930a68feb68ebe52" TargetMode="External"/><Relationship Id="rId315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bc79981087bd4f24af33066331f5ffb3&amp;showComments=1&amp;guid=6882be48-6626-5238-d3df-94e9f0a0019d" TargetMode="External"/><Relationship Id="rId557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74c97afcd4f74fadb759c7315bda896e" TargetMode="External"/><Relationship Id="rId799" Type="http://schemas.openxmlformats.org/officeDocument/2006/relationships/hyperlink" Target="https://photos.google.com/search/ME-Sala%20Ar%20Condicionado%20-%20CM-M2" TargetMode="External"/><Relationship Id="rId314" Type="http://schemas.openxmlformats.org/officeDocument/2006/relationships/hyperlink" Target="https://photos.google.com/search/4%C2%BAPav.-Copa%20Funcion%C3%A1rios" TargetMode="External"/><Relationship Id="rId556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74c97afcd4f74fadb759c7315bda896e" TargetMode="External"/><Relationship Id="rId798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42bca27f3f4543ff9eabcb0cab8bac64&amp;showComments=1&amp;guid=6882be48-6626-5238-d3df-94e9f0a0019d" TargetMode="External"/><Relationship Id="rId313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44e252021cf2449ea95e291936034e30&amp;showComments=1&amp;guid=6882be48-6626-5238-d3df-94e9f0a0019d" TargetMode="External"/><Relationship Id="rId555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showComments=1&amp;guid=6882be48-6626-5238-d3df-94e9f0a0019d" TargetMode="External"/><Relationship Id="rId797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42bca27f3f4543ff9eabcb0cab8bac64&amp;showComments=1&amp;guid=6882be48-6626-5238-d3df-94e9f0a0019d" TargetMode="External"/><Relationship Id="rId319" Type="http://schemas.openxmlformats.org/officeDocument/2006/relationships/hyperlink" Target="https://photos.google.com/search/4%C2%BAPav.-Corredor%20Central%20Setor%20A" TargetMode="External"/><Relationship Id="rId318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0eb61c53b13b4c07a6a9a81a86807e1b&amp;showComments=1&amp;guid=6882be48-6626-5238-d3df-94e9f0a0019d" TargetMode="External"/><Relationship Id="rId317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0eb61c53b13b4c07a6a9a81a86807e1b&amp;showComments=1&amp;guid=6882be48-6626-5238-d3df-94e9f0a0019d" TargetMode="External"/><Relationship Id="rId559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0141da7032454e30930a68feb68ebe52" TargetMode="External"/><Relationship Id="rId550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06504c0941f0499d9cc054d4c82b8b55" TargetMode="External"/><Relationship Id="rId792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b2a4a714228f4a60826728edadc62310&amp;showComments=1&amp;guid=6882be48-6626-5238-d3df-94e9f0a0019d" TargetMode="External"/><Relationship Id="rId791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4577fb555a49427cbc4841b3babe9193&amp;showComments=1&amp;guid=6882be48-6626-5238-d3df-94e9f0a0019d" TargetMode="External"/><Relationship Id="rId790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4577fb555a49427cbc4841b3babe9193&amp;showComments=1&amp;guid=6882be48-6626-5238-d3df-94e9f0a0019d" TargetMode="External"/><Relationship Id="rId312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44e252021cf2449ea95e291936034e30&amp;showComments=1&amp;guid=6882be48-6626-5238-d3df-94e9f0a0019d" TargetMode="External"/><Relationship Id="rId554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showComments=1&amp;guid=6882be48-6626-5238-d3df-94e9f0a0019d" TargetMode="External"/><Relationship Id="rId796" Type="http://schemas.openxmlformats.org/officeDocument/2006/relationships/hyperlink" Target="https://photos.google.com/search/ME-Sala%20Ar%20Condicionado%20-%20CM-M1" TargetMode="External"/><Relationship Id="rId311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76e429eff15d4c1ab64ed6f30d2b3266&amp;showComments=1&amp;guid=6882be48-6626-5238-d3df-94e9f0a0019d" TargetMode="External"/><Relationship Id="rId553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0be6a08df5064eff836ed10b17451300&amp;showComments=1&amp;guid=6882be48-6626-5238-d3df-94e9f0a0019d" TargetMode="External"/><Relationship Id="rId795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49878a2320e74a658e0e7dc6349fdd5a&amp;showComments=1&amp;guid=6882be48-6626-5238-d3df-94e9f0a0019d" TargetMode="External"/><Relationship Id="rId310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76e429eff15d4c1ab64ed6f30d2b3266&amp;showComments=1&amp;guid=6882be48-6626-5238-d3df-94e9f0a0019d" TargetMode="External"/><Relationship Id="rId552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0be6a08df5064eff836ed10b17451300&amp;showComments=1&amp;guid=6882be48-6626-5238-d3df-94e9f0a0019d" TargetMode="External"/><Relationship Id="rId794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49878a2320e74a658e0e7dc6349fdd5a&amp;showComments=1&amp;guid=6882be48-6626-5238-d3df-94e9f0a0019d" TargetMode="External"/><Relationship Id="rId551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06504c0941f0499d9cc054d4c82b8b55" TargetMode="External"/><Relationship Id="rId793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b2a4a714228f4a60826728edadc62310&amp;showComments=1&amp;guid=6882be48-6626-5238-d3df-94e9f0a0019d" TargetMode="External"/><Relationship Id="rId297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cacee1938ba7438e93543c5207b32415&amp;showComments=1&amp;guid=6882be48-6626-5238-d3df-94e9f0a0019d" TargetMode="External"/><Relationship Id="rId296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cacee1938ba7438e93543c5207b32415&amp;showComments=1&amp;guid=6882be48-6626-5238-d3df-94e9f0a0019d" TargetMode="External"/><Relationship Id="rId295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3131191e0808489eb3d3a8cfa082f955&amp;showComments=1&amp;guid=6882be48-6626-5238-d3df-94e9f0a0019d" TargetMode="External"/><Relationship Id="rId294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3131191e0808489eb3d3a8cfa082f955&amp;showComments=1&amp;guid=6882be48-6626-5238-d3df-94e9f0a0019d" TargetMode="External"/><Relationship Id="rId299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b14d626bc6614485b2ee5777d734ea37&amp;showComments=1&amp;guid=6882be48-6626-5238-d3df-94e9f0a0019d" TargetMode="External"/><Relationship Id="rId298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b14d626bc6614485b2ee5777d734ea37&amp;showComments=1&amp;guid=6882be48-6626-5238-d3df-94e9f0a0019d" TargetMode="External"/><Relationship Id="rId271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2b5fa4f465ac4c508f772925e9195bce&amp;showComments=1&amp;guid=6882be48-6626-5238-d3df-94e9f0a0019d" TargetMode="External"/><Relationship Id="rId270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c5ec8b67340b4867a4c1fae8c520e9c0&amp;showComments=1&amp;guid=6882be48-6626-5238-d3df-94e9f0a0019d" TargetMode="External"/><Relationship Id="rId269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c5ec8b67340b4867a4c1fae8c520e9c0&amp;showComments=1&amp;guid=6882be48-6626-5238-d3df-94e9f0a0019d" TargetMode="External"/><Relationship Id="rId264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12596c4ca4a644128a2dc7e13e9514aa&amp;showComments=1&amp;guid=6882be48-6626-5238-d3df-94e9f0a0019d" TargetMode="External"/><Relationship Id="rId263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12596c4ca4a644128a2dc7e13e9514aa&amp;showComments=1&amp;guid=6882be48-6626-5238-d3df-94e9f0a0019d" TargetMode="External"/><Relationship Id="rId262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1f28e359f6244afdb6bb4ec170b185c9&amp;showComments=1&amp;guid=6882be48-6626-5238-d3df-94e9f0a0019d" TargetMode="External"/><Relationship Id="rId261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1f28e359f6244afdb6bb4ec170b185c9&amp;showComments=1&amp;guid=6882be48-6626-5238-d3df-94e9f0a0019d" TargetMode="External"/><Relationship Id="rId268" Type="http://schemas.openxmlformats.org/officeDocument/2006/relationships/hyperlink" Target="https://photos.google.com/search/3%C2%BAPav.-Sala%20Rack%20FF%20-%20TI" TargetMode="External"/><Relationship Id="rId267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c6d980f6a52c4e918400ddd6eb78f39f&amp;showComments=1&amp;guid=6882be48-6626-5238-d3df-94e9f0a0019d" TargetMode="External"/><Relationship Id="rId266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c6d980f6a52c4e918400ddd6eb78f39f&amp;showComments=1&amp;guid=6882be48-6626-5238-d3df-94e9f0a0019d" TargetMode="External"/><Relationship Id="rId265" Type="http://schemas.openxmlformats.org/officeDocument/2006/relationships/hyperlink" Target="https://photos.google.com/search/3%C2%BAPav.-Sala%20para%20Espera%20Paciente%20Maca" TargetMode="External"/><Relationship Id="rId260" Type="http://schemas.openxmlformats.org/officeDocument/2006/relationships/hyperlink" Target="https://photos.google.com/search/3%C2%BAPav.-Sala%20El%C3%A9trica%20QDG3%20-%20Rack%20EE%20-%20TI" TargetMode="External"/><Relationship Id="rId259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45a1ecc962c244ae9709fd37520537fa&amp;showComments=1&amp;guid=6882be48-6626-5238-d3df-94e9f0a0019d" TargetMode="External"/><Relationship Id="rId258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45a1ecc962c244ae9709fd37520537fa&amp;showComments=1&amp;guid=6882be48-6626-5238-d3df-94e9f0a0019d" TargetMode="External"/><Relationship Id="rId253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1b2ec121fe394fe2a088ab411fbac288&amp;showComments=1&amp;guid=6882be48-6626-5238-d3df-94e9f0a0019d" TargetMode="External"/><Relationship Id="rId495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c1e3432e1b6b44378d106a4e1937682b&amp;showComments=1&amp;guid=6882be48-6626-5238-d3df-94e9f0a0019d" TargetMode="External"/><Relationship Id="rId252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1b2ec121fe394fe2a088ab411fbac288&amp;showComments=1&amp;guid=6882be48-6626-5238-d3df-94e9f0a0019d" TargetMode="External"/><Relationship Id="rId494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9e64131853f14a89b4f3ff02e87a99a0&amp;showComments=1&amp;guid=6882be48-6626-5238-d3df-94e9f0a0019d" TargetMode="External"/><Relationship Id="rId251" Type="http://schemas.openxmlformats.org/officeDocument/2006/relationships/hyperlink" Target="https://photos.google.com/search/3%C2%BAPav.-Sala%20de%20Preceptores%202" TargetMode="External"/><Relationship Id="rId493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9e64131853f14a89b4f3ff02e87a99a0&amp;showComments=1&amp;guid=6882be48-6626-5238-d3df-94e9f0a0019d" TargetMode="External"/><Relationship Id="rId250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b166593c905d4c4788d086e178623e61&amp;showComments=1&amp;guid=6882be48-6626-5238-d3df-94e9f0a0019d" TargetMode="External"/><Relationship Id="rId492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6a31d731604d4d2692678626b4dc66c7&amp;showComments=1&amp;guid=6882be48-6626-5238-d3df-94e9f0a0019d" TargetMode="External"/><Relationship Id="rId257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18cccffd275546ad8ee74465f495f357&amp;showComments=1&amp;guid=6882be48-6626-5238-d3df-94e9f0a0019d" TargetMode="External"/><Relationship Id="rId499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7c3bf6a58db14bbf98bcd43fee71762c&amp;showComments=1&amp;guid=6882be48-6626-5238-d3df-94e9f0a0019d" TargetMode="External"/><Relationship Id="rId256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18cccffd275546ad8ee74465f495f357&amp;showComments=1&amp;guid=6882be48-6626-5238-d3df-94e9f0a0019d" TargetMode="External"/><Relationship Id="rId498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10c358d4593b4f21911fd8f34a6eb6bb&amp;showComments=1&amp;guid=6882be48-6626-5238-d3df-94e9f0a0019d" TargetMode="External"/><Relationship Id="rId255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16b00f6ff27e40958e1277eb2900be73&amp;showComments=1&amp;guid=6882be48-6626-5238-d3df-94e9f0a0019d" TargetMode="External"/><Relationship Id="rId497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10c358d4593b4f21911fd8f34a6eb6bb&amp;showComments=1&amp;guid=6882be48-6626-5238-d3df-94e9f0a0019d" TargetMode="External"/><Relationship Id="rId254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16b00f6ff27e40958e1277eb2900be73&amp;showComments=1&amp;guid=6882be48-6626-5238-d3df-94e9f0a0019d" TargetMode="External"/><Relationship Id="rId496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c1e3432e1b6b44378d106a4e1937682b&amp;showComments=1&amp;guid=6882be48-6626-5238-d3df-94e9f0a0019d" TargetMode="External"/><Relationship Id="rId293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f4680b93c69a479aa3603caf1d07390e&amp;showComments=1&amp;guid=6882be48-6626-5238-d3df-94e9f0a0019d" TargetMode="External"/><Relationship Id="rId292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f4680b93c69a479aa3603caf1d07390e&amp;showComments=1&amp;guid=6882be48-6626-5238-d3df-94e9f0a0019d" TargetMode="External"/><Relationship Id="rId291" Type="http://schemas.openxmlformats.org/officeDocument/2006/relationships/hyperlink" Target="https://photos.app.goo.gl/zxACzUQiHiE3Lpgt7" TargetMode="External"/><Relationship Id="rId290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2c830be7bbf2468a92921608c0094895&amp;showComments=1&amp;guid=6882be48-6626-5238-d3df-94e9f0a0019d" TargetMode="External"/><Relationship Id="rId286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8c6207fbd4f44118a47c3d41a766cfb9&amp;showComments=1&amp;guid=6882be48-6626-5238-d3df-94e9f0a0019d" TargetMode="External"/><Relationship Id="rId285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8c6207fbd4f44118a47c3d41a766cfb9&amp;showComments=1&amp;guid=6882be48-6626-5238-d3df-94e9f0a0019d" TargetMode="External"/><Relationship Id="rId284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f75cee27aaaf4e67b0145ceb905c491b&amp;showComments=1&amp;guid=6882be48-6626-5238-d3df-94e9f0a0019d" TargetMode="External"/><Relationship Id="rId283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f75cee27aaaf4e67b0145ceb905c491b&amp;showComments=1&amp;guid=6882be48-6626-5238-d3df-94e9f0a0019d" TargetMode="External"/><Relationship Id="rId289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2c830be7bbf2468a92921608c0094895&amp;showComments=1&amp;guid=6882be48-6626-5238-d3df-94e9f0a0019d" TargetMode="External"/><Relationship Id="rId288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348b09153b324247a170403d3e569920&amp;showComments=1&amp;guid=6882be48-6626-5238-d3df-94e9f0a0019d" TargetMode="External"/><Relationship Id="rId287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348b09153b324247a170403d3e569920&amp;showComments=1&amp;guid=6882be48-6626-5238-d3df-94e9f0a0019d" TargetMode="External"/><Relationship Id="rId282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8c26682c36bf45dba2ddc1adf591fba3&amp;showComments=1&amp;guid=6882be48-6626-5238-d3df-94e9f0a0019d" TargetMode="External"/><Relationship Id="rId281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8c26682c36bf45dba2ddc1adf591fba3&amp;showComments=1&amp;guid=6882be48-6626-5238-d3df-94e9f0a0019d" TargetMode="External"/><Relationship Id="rId280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20864ddb69c14aaeb03f5628b4a849ee&amp;showComments=1&amp;guid=6882be48-6626-5238-d3df-94e9f0a0019d" TargetMode="External"/><Relationship Id="rId275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80ad54ccb54d4323be7a20241fd2c879&amp;showComments=1&amp;guid=6882be48-6626-5238-d3df-94e9f0a0019d" TargetMode="External"/><Relationship Id="rId274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acf785c565d740b0acf6cba04b766df1&amp;showComments=1&amp;guid=6882be48-6626-5238-d3df-94e9f0a0019d" TargetMode="External"/><Relationship Id="rId273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acf785c565d740b0acf6cba04b766df1&amp;showComments=1&amp;guid=6882be48-6626-5238-d3df-94e9f0a0019d" TargetMode="External"/><Relationship Id="rId272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2b5fa4f465ac4c508f772925e9195bce&amp;showComments=1&amp;guid=6882be48-6626-5238-d3df-94e9f0a0019d" TargetMode="External"/><Relationship Id="rId279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20864ddb69c14aaeb03f5628b4a849ee&amp;showComments=1&amp;guid=6882be48-6626-5238-d3df-94e9f0a0019d" TargetMode="External"/><Relationship Id="rId278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914990a7b9b74737af982abfbf4b1c23&amp;showComments=1&amp;guid=6882be48-6626-5238-d3df-94e9f0a0019d" TargetMode="External"/><Relationship Id="rId277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914990a7b9b74737af982abfbf4b1c23&amp;showComments=1&amp;guid=6882be48-6626-5238-d3df-94e9f0a0019d" TargetMode="External"/><Relationship Id="rId276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80ad54ccb54d4323be7a20241fd2c879&amp;showComments=1&amp;guid=6882be48-6626-5238-d3df-94e9f0a0019d" TargetMode="External"/><Relationship Id="rId907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62ad3172cd7d4d6e9c272adb2bb3692f&amp;showComments=1&amp;guid=6882be48-6626-5238-d3df-94e9f0a0019d" TargetMode="External"/><Relationship Id="rId906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62ad3172cd7d4d6e9c272adb2bb3692f&amp;showComments=1&amp;guid=6882be48-6626-5238-d3df-94e9f0a0019d" TargetMode="External"/><Relationship Id="rId905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046567e444244013b763b914176b0223&amp;showComments=1&amp;guid=6882be48-6626-5238-d3df-94e9f0a0019d" TargetMode="External"/><Relationship Id="rId904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046567e444244013b763b914176b0223&amp;showComments=1&amp;guid=6882be48-6626-5238-d3df-94e9f0a0019d" TargetMode="External"/><Relationship Id="rId909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7efd04196b224401a368446a7ef1590e&amp;showComments=1&amp;guid=6882be48-6626-5238-d3df-94e9f0a0019d" TargetMode="External"/><Relationship Id="rId908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7efd04196b224401a368446a7ef1590e&amp;showComments=1&amp;guid=6882be48-6626-5238-d3df-94e9f0a0019d" TargetMode="External"/><Relationship Id="rId903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7aa9d09c98ad4231a6e539c642e37fce&amp;showComments=1&amp;guid=6882be48-6626-5238-d3df-94e9f0a0019d" TargetMode="External"/><Relationship Id="rId902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7aa9d09c98ad4231a6e539c642e37fce&amp;showComments=1&amp;guid=6882be48-6626-5238-d3df-94e9f0a0019d" TargetMode="External"/><Relationship Id="rId901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57cebd1baad146f5be1c593690de1193&amp;showComments=1&amp;guid=6882be48-6626-5238-d3df-94e9f0a0019d" TargetMode="External"/><Relationship Id="rId900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57cebd1baad146f5be1c593690de1193&amp;showComments=1&amp;guid=6882be48-6626-5238-d3df-94e9f0a0019d" TargetMode="External"/><Relationship Id="rId929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e30d1bf902f744d199d778e6ce7ca7bd&amp;showComments=1&amp;guid=6882be48-6626-5238-d3df-94e9f0a0019d" TargetMode="External"/><Relationship Id="rId928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ac4f0d0bfb3c4a5f8acdd6d22e3385d6&amp;showComments=1&amp;guid=6882be48-6626-5238-d3df-94e9f0a0019d" TargetMode="External"/><Relationship Id="rId927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ac4f0d0bfb3c4a5f8acdd6d22e3385d6&amp;showComments=1&amp;guid=6882be48-6626-5238-d3df-94e9f0a0019d" TargetMode="External"/><Relationship Id="rId926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2d2b691d36574cbea770f3717c2c842e&amp;showComments=1&amp;guid=6882be48-6626-5238-d3df-94e9f0a0019d" TargetMode="External"/><Relationship Id="rId921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dda9f6ac51fd4e29aa367e7a47eb9fcc&amp;showComments=1&amp;guid=6882be48-6626-5238-d3df-94e9f0a0019d" TargetMode="External"/><Relationship Id="rId920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dda9f6ac51fd4e29aa367e7a47eb9fcc&amp;showComments=1&amp;guid=6882be48-6626-5238-d3df-94e9f0a0019d" TargetMode="External"/><Relationship Id="rId925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58347b98000f41ad8a332d044e062fa0&amp;showComments=1&amp;guid=6882be48-6626-5238-d3df-94e9f0a0019d" TargetMode="External"/><Relationship Id="rId924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58347b98000f41ad8a332d044e062fa0&amp;showComments=1&amp;guid=6882be48-6626-5238-d3df-94e9f0a0019d" TargetMode="External"/><Relationship Id="rId923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536ea7eb65574979a5d2fd3b1a9a454f&amp;showComments=1&amp;guid=6882be48-6626-5238-d3df-94e9f0a0019d" TargetMode="External"/><Relationship Id="rId922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536ea7eb65574979a5d2fd3b1a9a454f&amp;showComments=1&amp;guid=6882be48-6626-5238-d3df-94e9f0a0019d" TargetMode="External"/><Relationship Id="rId918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79267502c0bd441190c765a956a9f4ce&amp;showComments=1&amp;guid=6882be48-6626-5238-d3df-94e9f0a0019d" TargetMode="External"/><Relationship Id="rId917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27431d3e87044ad9a0b220cb11f17bd1&amp;showComments=1&amp;guid=6882be48-6626-5238-d3df-94e9f0a0019d" TargetMode="External"/><Relationship Id="rId916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27431d3e87044ad9a0b220cb11f17bd1&amp;showComments=1&amp;guid=6882be48-6626-5238-d3df-94e9f0a0019d" TargetMode="External"/><Relationship Id="rId915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94e3eca375cc4aedb2975534c15d5c67&amp;showComments=1&amp;guid=6882be48-6626-5238-d3df-94e9f0a0019d" TargetMode="External"/><Relationship Id="rId919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79267502c0bd441190c765a956a9f4ce&amp;showComments=1&amp;guid=6882be48-6626-5238-d3df-94e9f0a0019d" TargetMode="External"/><Relationship Id="rId910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2330e501c9184e2db9fc948288155440&amp;showComments=1&amp;guid=6882be48-6626-5238-d3df-94e9f0a0019d" TargetMode="External"/><Relationship Id="rId914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94e3eca375cc4aedb2975534c15d5c67&amp;showComments=1&amp;guid=6882be48-6626-5238-d3df-94e9f0a0019d" TargetMode="External"/><Relationship Id="rId913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99334ad6748342c98b90db2a5ef1414e&amp;showComments=1&amp;guid=6882be48-6626-5238-d3df-94e9f0a0019d" TargetMode="External"/><Relationship Id="rId912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99334ad6748342c98b90db2a5ef1414e&amp;showComments=1&amp;guid=6882be48-6626-5238-d3df-94e9f0a0019d" TargetMode="External"/><Relationship Id="rId911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2330e501c9184e2db9fc948288155440&amp;showComments=1&amp;guid=6882be48-6626-5238-d3df-94e9f0a0019d" TargetMode="External"/><Relationship Id="rId629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cd6afd30c8b94f5f8a87a1bb861e2001&amp;showComments=1&amp;guid=6882be48-6626-5238-d3df-94e9f0a0019d" TargetMode="External"/><Relationship Id="rId624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c0f2383ee79f4e9dad6f6a06a9b15110" TargetMode="External"/><Relationship Id="rId866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10dad5de2bce49a2bb6acdabf2cb8a01&amp;showComments=1&amp;guid=6882be48-6626-5238-d3df-94e9f0a0019d" TargetMode="External"/><Relationship Id="rId623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867a8c3ec4c748bda721e54585af368e" TargetMode="External"/><Relationship Id="rId865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cf7fb4a18e0d4798b219eb450f2639a9&amp;showComments=1&amp;guid=6882be48-6626-5238-d3df-94e9f0a0019d" TargetMode="External"/><Relationship Id="rId622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867a8c3ec4c748bda721e54585af368e" TargetMode="External"/><Relationship Id="rId864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cf7fb4a18e0d4798b219eb450f2639a9&amp;showComments=1&amp;guid=6882be48-6626-5238-d3df-94e9f0a0019d" TargetMode="External"/><Relationship Id="rId621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18124f8c6706413c84dd604d27eeaeaf" TargetMode="External"/><Relationship Id="rId863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" TargetMode="External"/><Relationship Id="rId628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cd6afd30c8b94f5f8a87a1bb861e2001&amp;showComments=1&amp;guid=6882be48-6626-5238-d3df-94e9f0a0019d" TargetMode="External"/><Relationship Id="rId627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142f9471a7f54abe819d771c1fb72512" TargetMode="External"/><Relationship Id="rId869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2a961936197d45c1b9393edeea2dea08&amp;showComments=1&amp;guid=6882be48-6626-5238-d3df-94e9f0a0019d" TargetMode="External"/><Relationship Id="rId626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142f9471a7f54abe819d771c1fb72512" TargetMode="External"/><Relationship Id="rId868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2a961936197d45c1b9393edeea2dea08&amp;showComments=1&amp;guid=6882be48-6626-5238-d3df-94e9f0a0019d" TargetMode="External"/><Relationship Id="rId625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c0f2383ee79f4e9dad6f6a06a9b15110" TargetMode="External"/><Relationship Id="rId867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10dad5de2bce49a2bb6acdabf2cb8a01&amp;showComments=1&amp;guid=6882be48-6626-5238-d3df-94e9f0a0019d" TargetMode="External"/><Relationship Id="rId620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18124f8c6706413c84dd604d27eeaeaf" TargetMode="External"/><Relationship Id="rId862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" TargetMode="External"/><Relationship Id="rId861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d7435de1df544f859b1f369935e82cd1&amp;showComments=1&amp;guid=6882be48-6626-5238-d3df-94e9f0a0019d" TargetMode="External"/><Relationship Id="rId860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d387ecaa733f4f1893a11fc28e33299b&amp;showComments=1&amp;guid=6882be48-6626-5238-d3df-94e9f0a0019d" TargetMode="External"/><Relationship Id="rId619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f3cdc76a5bd1455b8b2ea421c7df8be4" TargetMode="External"/><Relationship Id="rId618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f3cdc76a5bd1455b8b2ea421c7df8be4" TargetMode="External"/><Relationship Id="rId613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1b326876592847d78846432af13533f7&amp;showComments=1&amp;guid=6882be48-6626-5238-d3df-94e9f0a0019d" TargetMode="External"/><Relationship Id="rId855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77ea1538b30a4b11b4c20e97916faac9&amp;showComments=1&amp;guid=6882be48-6626-5238-d3df-94e9f0a0019d" TargetMode="External"/><Relationship Id="rId612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1b326876592847d78846432af13533f7&amp;showComments=1&amp;guid=6882be48-6626-5238-d3df-94e9f0a0019d" TargetMode="External"/><Relationship Id="rId854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" TargetMode="External"/><Relationship Id="rId611" Type="http://schemas.openxmlformats.org/officeDocument/2006/relationships/hyperlink" Target="https://photos.google.com/search/6%C2%BAPav.-Sala%20de%20Duto%20-%20CM6.2" TargetMode="External"/><Relationship Id="rId853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" TargetMode="External"/><Relationship Id="rId610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1752a74566cd4c96bdfd5bbea676ad01&amp;showComments=1&amp;guid=6882be48-6626-5238-d3df-94e9f0a0019d" TargetMode="External"/><Relationship Id="rId852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" TargetMode="External"/><Relationship Id="rId617" Type="http://schemas.openxmlformats.org/officeDocument/2006/relationships/hyperlink" Target="https://photos.google.com/search/6%C2%BAPav.-Sala%20de%20Duto%20-%20CM6.5" TargetMode="External"/><Relationship Id="rId859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db143845eb034c33923780a688135b7d&amp;showComments=1&amp;guid=6882be48-6626-5238-d3df-94e9f0a0019d" TargetMode="External"/><Relationship Id="rId616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35df6498dab9456caf9394e2a0f7f563&amp;showComments=1&amp;guid=6882be48-6626-5238-d3df-94e9f0a0019d" TargetMode="External"/><Relationship Id="rId858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831bae31494e4ee88e35ad7082d74ce2&amp;showComments=1&amp;guid=6882be48-6626-5238-d3df-94e9f0a0019d" TargetMode="External"/><Relationship Id="rId615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35df6498dab9456caf9394e2a0f7f563&amp;showComments=1&amp;guid=6882be48-6626-5238-d3df-94e9f0a0019d" TargetMode="External"/><Relationship Id="rId857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234e3c3c4fef4c49a76580efa7ab2fa2&amp;showComments=1&amp;guid=6882be48-6626-5238-d3df-94e9f0a0019d" TargetMode="External"/><Relationship Id="rId614" Type="http://schemas.openxmlformats.org/officeDocument/2006/relationships/hyperlink" Target="https://photos.google.com/search/6%C2%BAPav.-Sala%20de%20Duto%20-%20CM6.3" TargetMode="External"/><Relationship Id="rId856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234e3c3c4fef4c49a76580efa7ab2fa2&amp;showComments=1&amp;guid=6882be48-6626-5238-d3df-94e9f0a0019d" TargetMode="External"/><Relationship Id="rId851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add95757073141f9a978e9bf72eb6385&amp;showComments=1&amp;guid=6882be48-6626-5238-d3df-94e9f0a0019d" TargetMode="External"/><Relationship Id="rId850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add95757073141f9a978e9bf72eb6385&amp;showComments=1&amp;guid=6882be48-6626-5238-d3df-94e9f0a0019d" TargetMode="External"/><Relationship Id="rId409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45df94d4a3a844b48e57e28ac1e38814&amp;showComments=1&amp;guid=6882be48-6626-5238-d3df-94e9f0a0019d" TargetMode="External"/><Relationship Id="rId404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859b6ca5039b4a3fb29ac84c53d61f6d&amp;showComments=1&amp;guid=6882be48-6626-5238-d3df-94e9f0a0019d" TargetMode="External"/><Relationship Id="rId646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2ac3a3f1625a485595d258db4fb90f69&amp;showComments=1&amp;guid=6882be48-6626-5238-d3df-94e9f0a0019d" TargetMode="External"/><Relationship Id="rId888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86ecdc576021479f9280b10eca543b95&amp;showComments=1&amp;guid=6882be48-6626-5238-d3df-94e9f0a0019d" TargetMode="External"/><Relationship Id="rId403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c6ad8d4bca6e4b6b84d7c994d2870d56&amp;showComments=1&amp;guid=6882be48-6626-5238-d3df-94e9f0a0019d" TargetMode="External"/><Relationship Id="rId645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2ac3a3f1625a485595d258db4fb90f69&amp;showComments=1&amp;guid=6882be48-6626-5238-d3df-94e9f0a0019d" TargetMode="External"/><Relationship Id="rId887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2ba336792f8c45c0a9e842764106df16&amp;showComments=1&amp;guid=6882be48-6626-5238-d3df-94e9f0a0019d" TargetMode="External"/><Relationship Id="rId402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c6ad8d4bca6e4b6b84d7c994d2870d56&amp;showComments=1&amp;guid=6882be48-6626-5238-d3df-94e9f0a0019d" TargetMode="External"/><Relationship Id="rId644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65f282e42374463799a4ce1e47f2d0ed&amp;showComments=1&amp;guid=6882be48-6626-5238-d3df-94e9f0a0019d" TargetMode="External"/><Relationship Id="rId886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2ba336792f8c45c0a9e842764106df16&amp;showComments=1&amp;guid=6882be48-6626-5238-d3df-94e9f0a0019d" TargetMode="External"/><Relationship Id="rId401" Type="http://schemas.openxmlformats.org/officeDocument/2006/relationships/hyperlink" Target="https://sites.google.com/view/eltrica-equipesial/levantamento-fotogr%C3%A1fico/5%C2%BA-pav-360" TargetMode="External"/><Relationship Id="rId643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65f282e42374463799a4ce1e47f2d0ed&amp;showComments=1&amp;guid=6882be48-6626-5238-d3df-94e9f0a0019d" TargetMode="External"/><Relationship Id="rId885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f41c8facbd6944ce8fe74e5afc8c180d&amp;showComments=1&amp;guid=6882be48-6626-5238-d3df-94e9f0a0019d" TargetMode="External"/><Relationship Id="rId408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b6dfb19b8cce4947a2edaa0fd2b5d3ea&amp;showComments=1&amp;guid=6882be48-6626-5238-d3df-94e9f0a0019d" TargetMode="External"/><Relationship Id="rId407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b6dfb19b8cce4947a2edaa0fd2b5d3ea&amp;showComments=1&amp;guid=6882be48-6626-5238-d3df-94e9f0a0019d" TargetMode="External"/><Relationship Id="rId649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642e8c82fc16447f9d7c5c24994e960a" TargetMode="External"/><Relationship Id="rId406" Type="http://schemas.openxmlformats.org/officeDocument/2006/relationships/hyperlink" Target="https://photos.google.com/search/5%C2%BAPav.-Antec%C3%A2mara%20Setor%20A" TargetMode="External"/><Relationship Id="rId648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269a0627845a483e8cf9e1cf3e0721b6" TargetMode="External"/><Relationship Id="rId405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859b6ca5039b4a3fb29ac84c53d61f6d&amp;showComments=1&amp;guid=6882be48-6626-5238-d3df-94e9f0a0019d" TargetMode="External"/><Relationship Id="rId647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269a0627845a483e8cf9e1cf3e0721b6" TargetMode="External"/><Relationship Id="rId889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86ecdc576021479f9280b10eca543b95&amp;showComments=1&amp;guid=6882be48-6626-5238-d3df-94e9f0a0019d" TargetMode="External"/><Relationship Id="rId880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7909f562cb1f4675b318cb169c59a402&amp;showComments=1&amp;guid=6882be48-6626-5238-d3df-94e9f0a0019d" TargetMode="External"/><Relationship Id="rId400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d36421df8f54416dad89d01b5490c19d&amp;showComments=1&amp;guid=6882be48-6626-5238-d3df-94e9f0a0019d" TargetMode="External"/><Relationship Id="rId642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411b39aa329f4c7fb5fb6ca4a25204de&amp;showComments=1&amp;guid=6882be48-6626-5238-d3df-94e9f0a0019d" TargetMode="External"/><Relationship Id="rId884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f41c8facbd6944ce8fe74e5afc8c180d&amp;showComments=1&amp;guid=6882be48-6626-5238-d3df-94e9f0a0019d" TargetMode="External"/><Relationship Id="rId641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411b39aa329f4c7fb5fb6ca4a25204de&amp;showComments=1&amp;guid=6882be48-6626-5238-d3df-94e9f0a0019d" TargetMode="External"/><Relationship Id="rId883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&amp;commentId=urn:adsk.comments:social.comment:555d9c9c84be4d0a8183ca6ebb90d776" TargetMode="External"/><Relationship Id="rId640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90688100be724fcaaf2493f904977fe2" TargetMode="External"/><Relationship Id="rId882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&amp;commentId=urn:adsk.comments:social.comment:555d9c9c84be4d0a8183ca6ebb90d776" TargetMode="External"/><Relationship Id="rId881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7909f562cb1f4675b318cb169c59a402&amp;showComments=1&amp;guid=6882be48-6626-5238-d3df-94e9f0a0019d" TargetMode="External"/><Relationship Id="rId635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5befb0c7c21d45d2a1039b91f11e2887&amp;showComments=1&amp;guid=6882be48-6626-5238-d3df-94e9f0a0019d" TargetMode="External"/><Relationship Id="rId877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2d0740d691814e848cf4ef1c4dc34dbd&amp;showComments=1&amp;guid=6882be48-6626-5238-d3df-94e9f0a0019d" TargetMode="External"/><Relationship Id="rId634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5befb0c7c21d45d2a1039b91f11e2887&amp;showComments=1&amp;guid=6882be48-6626-5238-d3df-94e9f0a0019d" TargetMode="External"/><Relationship Id="rId876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2d0740d691814e848cf4ef1c4dc34dbd&amp;showComments=1&amp;guid=6882be48-6626-5238-d3df-94e9f0a0019d" TargetMode="External"/><Relationship Id="rId633" Type="http://schemas.openxmlformats.org/officeDocument/2006/relationships/hyperlink" Target="https://photos.google.com/search/6%C2%BAPav.-Sala%20Rack%20KK%20-%20TI" TargetMode="External"/><Relationship Id="rId875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b1508cd5226e40c2951cda4459c02f36&amp;showComments=1&amp;guid=6882be48-6626-5238-d3df-94e9f0a0019d" TargetMode="External"/><Relationship Id="rId632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c411694cc89d4bd39d10fa9385182907&amp;showComments=1&amp;guid=6882be48-6626-5238-d3df-94e9f0a0019d" TargetMode="External"/><Relationship Id="rId874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b1508cd5226e40c2951cda4459c02f36&amp;showComments=1&amp;guid=6882be48-6626-5238-d3df-94e9f0a0019d" TargetMode="External"/><Relationship Id="rId639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90688100be724fcaaf2493f904977fe2" TargetMode="External"/><Relationship Id="rId638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f9faf5f109564ac5a70f5ddcebe99e9d" TargetMode="External"/><Relationship Id="rId637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f9faf5f109564ac5a70f5ddcebe99e9d" TargetMode="External"/><Relationship Id="rId879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8dea3c40ec1d4b57a96bd80392e46c91&amp;showComments=1&amp;guid=6882be48-6626-5238-d3df-94e9f0a0019d" TargetMode="External"/><Relationship Id="rId636" Type="http://schemas.openxmlformats.org/officeDocument/2006/relationships/hyperlink" Target="https://photos.google.com/search/6%C2%BAPav.-Sala%20Rack%20LL%20-%20TI" TargetMode="External"/><Relationship Id="rId878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8dea3c40ec1d4b57a96bd80392e46c91&amp;showComments=1&amp;guid=6882be48-6626-5238-d3df-94e9f0a0019d" TargetMode="External"/><Relationship Id="rId631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c411694cc89d4bd39d10fa9385182907&amp;showComments=1&amp;guid=6882be48-6626-5238-d3df-94e9f0a0019d" TargetMode="External"/><Relationship Id="rId873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f835182379714839ba456bdb812d8e83&amp;showComments=1&amp;guid=6882be48-6626-5238-d3df-94e9f0a0019d" TargetMode="External"/><Relationship Id="rId630" Type="http://schemas.openxmlformats.org/officeDocument/2006/relationships/hyperlink" Target="https://photos.google.com/search/6%C2%BAPav.-Sala%20El%C3%A9trica%20QDG6" TargetMode="External"/><Relationship Id="rId872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f835182379714839ba456bdb812d8e83&amp;showComments=1&amp;guid=6882be48-6626-5238-d3df-94e9f0a0019d" TargetMode="External"/><Relationship Id="rId871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1e6aeffaad9842b9bf2faa464da1c9b4&amp;showComments=1&amp;guid=6882be48-6626-5238-d3df-94e9f0a0019d" TargetMode="External"/><Relationship Id="rId870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1e6aeffaad9842b9bf2faa464da1c9b4&amp;showComments=1&amp;guid=6882be48-6626-5238-d3df-94e9f0a0019d" TargetMode="External"/><Relationship Id="rId829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4be1e178922b4edfbdbc591a8becb63c&amp;showComments=1&amp;guid=6882be48-6626-5238-d3df-94e9f0a0019d" TargetMode="External"/><Relationship Id="rId828" Type="http://schemas.openxmlformats.org/officeDocument/2006/relationships/hyperlink" Target="https://photos.google.com/search/ME-Sala%20El%C3%A9trica%20QDGM" TargetMode="External"/><Relationship Id="rId827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" TargetMode="External"/><Relationship Id="rId822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4dc34b91966945ffae8b2cbff2b86744&amp;showComments=1&amp;guid=6882be48-6626-5238-d3df-94e9f0a0019d" TargetMode="External"/><Relationship Id="rId821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efa7afbe1d944aa9876da6dd20aff2e5&amp;showComments=1&amp;guid=6882be48-6626-5238-d3df-94e9f0a0019d" TargetMode="External"/><Relationship Id="rId820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efa7afbe1d944aa9876da6dd20aff2e5&amp;showComments=1&amp;guid=6882be48-6626-5238-d3df-94e9f0a0019d" TargetMode="External"/><Relationship Id="rId826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" TargetMode="External"/><Relationship Id="rId825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" TargetMode="External"/><Relationship Id="rId824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" TargetMode="External"/><Relationship Id="rId823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4dc34b91966945ffae8b2cbff2b86744&amp;showComments=1&amp;guid=6882be48-6626-5238-d3df-94e9f0a0019d" TargetMode="External"/><Relationship Id="rId819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2e2229751fd846b7b77716d6462a94e8&amp;showComments=1&amp;guid=6882be48-6626-5238-d3df-94e9f0a0019d" TargetMode="External"/><Relationship Id="rId818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2e2229751fd846b7b77716d6462a94e8&amp;showComments=1&amp;guid=6882be48-6626-5238-d3df-94e9f0a0019d" TargetMode="External"/><Relationship Id="rId817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da4c85265db5458ebdde2bf6c457821c&amp;showComments=1&amp;guid=6882be48-6626-5238-d3df-94e9f0a0019d" TargetMode="External"/><Relationship Id="rId816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da4c85265db5458ebdde2bf6c457821c&amp;showComments=1&amp;guid=6882be48-6626-5238-d3df-94e9f0a0019d" TargetMode="External"/><Relationship Id="rId811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" TargetMode="External"/><Relationship Id="rId810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" TargetMode="External"/><Relationship Id="rId815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" TargetMode="External"/><Relationship Id="rId814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" TargetMode="External"/><Relationship Id="rId813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ad0a60b7f09c4952b5f4e6a6aa88298d&amp;showComments=1&amp;guid=6882be48-6626-5238-d3df-94e9f0a0019d" TargetMode="External"/><Relationship Id="rId812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ad0a60b7f09c4952b5f4e6a6aa88298d&amp;showComments=1&amp;guid=6882be48-6626-5238-d3df-94e9f0a0019d" TargetMode="External"/><Relationship Id="rId609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1752a74566cd4c96bdfd5bbea676ad01&amp;showComments=1&amp;guid=6882be48-6626-5238-d3df-94e9f0a0019d" TargetMode="External"/><Relationship Id="rId608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526afaf886ff4f0697d11a123e5cd835" TargetMode="External"/><Relationship Id="rId607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526afaf886ff4f0697d11a123e5cd835" TargetMode="External"/><Relationship Id="rId849" Type="http://schemas.openxmlformats.org/officeDocument/2006/relationships/hyperlink" Target="https://photos.google.com/share/AF1QipNhWdd3sP4dFXvzgJcz1PYlo8KAPU0FfBoN9ALrJ17JfdHw98gS8aidzou2grXQmQ?key=Q0JlLU9GSGhPSDA1anlJTXAySnNfLV90Z0k3Z1Bn" TargetMode="External"/><Relationship Id="rId602" Type="http://schemas.openxmlformats.org/officeDocument/2006/relationships/hyperlink" Target="https://photos.google.com/search/6%C2%BAPav.-Sala%20Ar%20Condicionado%20-%20CM6.4" TargetMode="External"/><Relationship Id="rId844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22e972b54a6a4a7bb73a5a51bcb9cabc&amp;showComments=1&amp;guid=6882be48-6626-5238-d3df-94e9f0a0019d" TargetMode="External"/><Relationship Id="rId601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52b73aa7547f40078311151943ac1068&amp;showComments=1&amp;guid=6882be48-6626-5238-d3df-94e9f0a0019d" TargetMode="External"/><Relationship Id="rId843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22e972b54a6a4a7bb73a5a51bcb9cabc&amp;showComments=1&amp;guid=6882be48-6626-5238-d3df-94e9f0a0019d" TargetMode="External"/><Relationship Id="rId600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commentId=urn:adsk.comments:social.comment:52b73aa7547f40078311151943ac1068&amp;showComments=1&amp;guid=6882be48-6626-5238-d3df-94e9f0a0019d" TargetMode="External"/><Relationship Id="rId842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772c9bf6f84146ed880f761660f555a9&amp;showComments=1&amp;guid=6882be48-6626-5238-d3df-94e9f0a0019d" TargetMode="External"/><Relationship Id="rId841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772c9bf6f84146ed880f761660f555a9&amp;showComments=1&amp;guid=6882be48-6626-5238-d3df-94e9f0a0019d" TargetMode="External"/><Relationship Id="rId606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28e9d9816a5043aaa510e526f126a889" TargetMode="External"/><Relationship Id="rId848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16b879655a55419cb6f0ead220fe57c1&amp;showComments=1&amp;guid=6882be48-6626-5238-d3df-94e9f0a0019d" TargetMode="External"/><Relationship Id="rId605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28e9d9816a5043aaa510e526f126a889" TargetMode="External"/><Relationship Id="rId847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16b879655a55419cb6f0ead220fe57c1&amp;showComments=1&amp;guid=6882be48-6626-5238-d3df-94e9f0a0019d" TargetMode="External"/><Relationship Id="rId604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8805ad3446e247f5946bebd338dcd5e2" TargetMode="External"/><Relationship Id="rId846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edf6c98b4eae47fe8918564934b28ae1&amp;showComments=1&amp;guid=6882be48-6626-5238-d3df-94e9f0a0019d" TargetMode="External"/><Relationship Id="rId603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8805ad3446e247f5946bebd338dcd5e2" TargetMode="External"/><Relationship Id="rId845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edf6c98b4eae47fe8918564934b28ae1&amp;showComments=1&amp;guid=6882be48-6626-5238-d3df-94e9f0a0019d" TargetMode="External"/><Relationship Id="rId840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32cf0fa5ed3149c8b10e0d3fc113dc95&amp;showComments=1&amp;guid=6882be48-6626-5238-d3df-94e9f0a0019d" TargetMode="External"/><Relationship Id="rId839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32cf0fa5ed3149c8b10e0d3fc113dc95&amp;showComments=1&amp;guid=6882be48-6626-5238-d3df-94e9f0a0019d" TargetMode="External"/><Relationship Id="rId838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bedf8ccdacb849d184c756f27c2e8474&amp;showComments=1&amp;guid=6882be48-6626-5238-d3df-94e9f0a0019d" TargetMode="External"/><Relationship Id="rId833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ef71e808754d42e29bcf92a3b43fbfd6&amp;showComments=1&amp;guid=6882be48-6626-5238-d3df-94e9f0a0019d" TargetMode="External"/><Relationship Id="rId832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fe5679fcc2d4474f8754f812caa78cb1&amp;showComments=1&amp;guid=6882be48-6626-5238-d3df-94e9f0a0019d" TargetMode="External"/><Relationship Id="rId831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fe5679fcc2d4474f8754f812caa78cb1&amp;showComments=1&amp;guid=6882be48-6626-5238-d3df-94e9f0a0019d" TargetMode="External"/><Relationship Id="rId830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4be1e178922b4edfbdbc591a8becb63c&amp;showComments=1&amp;guid=6882be48-6626-5238-d3df-94e9f0a0019d" TargetMode="External"/><Relationship Id="rId837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bedf8ccdacb849d184c756f27c2e8474&amp;showComments=1&amp;guid=6882be48-6626-5238-d3df-94e9f0a0019d" TargetMode="External"/><Relationship Id="rId836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7553496612ae4c71a1f9901cb5e0cc38&amp;showComments=1&amp;guid=6882be48-6626-5238-d3df-94e9f0a0019d" TargetMode="External"/><Relationship Id="rId835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7553496612ae4c71a1f9901cb5e0cc38&amp;showComments=1&amp;guid=6882be48-6626-5238-d3df-94e9f0a0019d" TargetMode="External"/><Relationship Id="rId834" Type="http://schemas.openxmlformats.org/officeDocument/2006/relationships/hyperlink" Target="https://myhub.autodesk360.com/ue29d95bb/g/projects/20210514412106331/data/dXJuOmFkc2sud2lwcHJvZDpmcy5mb2xkZXI6Y28ucU04eGNtQzdReXliS0NURmJQYUFTQQ/dXJuOmFkc2sud2lwcHJvZDpkbS5saW5lYWdlOkJRbkhGZkdnU2t5WURIVlJXSUI1eWc/viewer?version=1&amp;commentId=urn:adsk.comments:social.comment:ef71e808754d42e29bcf92a3b43fbfd6&amp;showComments=1&amp;guid=6882be48-6626-5238-d3df-94e9f0a0019d" TargetMode="External"/><Relationship Id="rId228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ecc722e764c64abcb259723eb45d77d6&amp;showComments=1&amp;guid=6882be48-6626-5238-d3df-94e9f0a0019d" TargetMode="External"/><Relationship Id="rId227" Type="http://schemas.openxmlformats.org/officeDocument/2006/relationships/hyperlink" Target="https://photos.google.com/search/3%C2%BAPav.-Sala%20Ar%20Condicionado%20-%20CM3.2" TargetMode="External"/><Relationship Id="rId469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b6877c0dd3be49f18833f7414eb7a329&amp;showComments=1&amp;guid=6882be48-6626-5238-d3df-94e9f0a0019d" TargetMode="External"/><Relationship Id="rId226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1b3b186e440545a08e4255787de4e85f&amp;showComments=1&amp;guid=6882be48-6626-5238-d3df-94e9f0a0019d" TargetMode="External"/><Relationship Id="rId468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967472c57d1248088a2c363788f83dc4&amp;showComments=1&amp;guid=6882be48-6626-5238-d3df-94e9f0a0019d" TargetMode="External"/><Relationship Id="rId225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1b3b186e440545a08e4255787de4e85f&amp;showComments=1&amp;guid=6882be48-6626-5238-d3df-94e9f0a0019d" TargetMode="External"/><Relationship Id="rId467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967472c57d1248088a2c363788f83dc4&amp;showComments=1&amp;guid=6882be48-6626-5238-d3df-94e9f0a0019d" TargetMode="External"/><Relationship Id="rId229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ecc722e764c64abcb259723eb45d77d6&amp;showComments=1&amp;guid=6882be48-6626-5238-d3df-94e9f0a0019d" TargetMode="External"/><Relationship Id="rId220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fc671f25cfbb4d598e7677e9353548ec&amp;showComments=1&amp;guid=6882be48-6626-5238-d3df-94e9f0a0019d" TargetMode="External"/><Relationship Id="rId462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9552a8517ba14cc7ac8d629714bf94fe&amp;showComments=1&amp;guid=6882be48-6626-5238-d3df-94e9f0a0019d" TargetMode="External"/><Relationship Id="rId461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9552a8517ba14cc7ac8d629714bf94fe&amp;showComments=1&amp;guid=6882be48-6626-5238-d3df-94e9f0a0019d" TargetMode="External"/><Relationship Id="rId460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250c4556a5e34b3a8cfb306187ad9fd4&amp;showComments=1&amp;guid=6882be48-6626-5238-d3df-94e9f0a0019d" TargetMode="External"/><Relationship Id="rId224" Type="http://schemas.openxmlformats.org/officeDocument/2006/relationships/hyperlink" Target="https://photos.google.com/search/3%C2%BAPav.-Sala%20Ar%20Condicionado%20-%20CM3.1" TargetMode="External"/><Relationship Id="rId466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9fef6dd7335e4ab883cf83a1e85d9893&amp;showComments=1&amp;guid=6882be48-6626-5238-d3df-94e9f0a0019d" TargetMode="External"/><Relationship Id="rId223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7c921e0b9c694018a9a96ad813760ee4&amp;showComments=1&amp;guid=6882be48-6626-5238-d3df-94e9f0a0019d" TargetMode="External"/><Relationship Id="rId465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9fef6dd7335e4ab883cf83a1e85d9893&amp;showComments=1&amp;guid=6882be48-6626-5238-d3df-94e9f0a0019d" TargetMode="External"/><Relationship Id="rId222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7c921e0b9c694018a9a96ad813760ee4&amp;showComments=1&amp;guid=6882be48-6626-5238-d3df-94e9f0a0019d" TargetMode="External"/><Relationship Id="rId464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fd6631bd9bd043f9a4a467de8592660b&amp;showComments=1&amp;guid=6882be48-6626-5238-d3df-94e9f0a0019d" TargetMode="External"/><Relationship Id="rId221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fc671f25cfbb4d598e7677e9353548ec&amp;showComments=1&amp;guid=6882be48-6626-5238-d3df-94e9f0a0019d" TargetMode="External"/><Relationship Id="rId463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fd6631bd9bd043f9a4a467de8592660b&amp;showComments=1&amp;guid=6882be48-6626-5238-d3df-94e9f0a0019d" TargetMode="External"/><Relationship Id="rId217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52ff385e50a44910b8a2fe2f26b3c4b5&amp;showComments=1&amp;guid=6882be48-6626-5238-d3df-94e9f0a0019d" TargetMode="External"/><Relationship Id="rId459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250c4556a5e34b3a8cfb306187ad9fd4&amp;showComments=1&amp;guid=6882be48-6626-5238-d3df-94e9f0a0019d" TargetMode="External"/><Relationship Id="rId216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52ff385e50a44910b8a2fe2f26b3c4b5&amp;showComments=1&amp;guid=6882be48-6626-5238-d3df-94e9f0a0019d" TargetMode="External"/><Relationship Id="rId458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fd0a158731ab4e5cb676a5de7d6f7f8a&amp;showComments=1&amp;guid=6882be48-6626-5238-d3df-94e9f0a0019d" TargetMode="External"/><Relationship Id="rId215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showComments=1&amp;guid=6882be48-6626-5238-d3df-94e9f0a0019d&amp;commentId=urn:adsk.comments:social.comment:0a0a4d5e846440809815781a23e21685" TargetMode="External"/><Relationship Id="rId457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fd0a158731ab4e5cb676a5de7d6f7f8a&amp;showComments=1&amp;guid=6882be48-6626-5238-d3df-94e9f0a0019d" TargetMode="External"/><Relationship Id="rId699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a34e4a902a84487197dc7840c950805e&amp;showComments=1&amp;guid=6882be48-6626-5238-d3df-94e9f0a0019d" TargetMode="External"/><Relationship Id="rId214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showComments=1&amp;guid=6882be48-6626-5238-d3df-94e9f0a0019d&amp;commentId=urn:adsk.comments:social.comment:0a0a4d5e846440809815781a23e21685" TargetMode="External"/><Relationship Id="rId456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92b8e2cbe58f4e93b338e7715858fe96&amp;showComments=1&amp;guid=6882be48-6626-5238-d3df-94e9f0a0019d" TargetMode="External"/><Relationship Id="rId698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a34e4a902a84487197dc7840c950805e&amp;showComments=1&amp;guid=6882be48-6626-5238-d3df-94e9f0a0019d" TargetMode="External"/><Relationship Id="rId219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showComments=1&amp;guid=6882be48-6626-5238-d3df-94e9f0a0019d" TargetMode="External"/><Relationship Id="rId218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showComments=1&amp;guid=6882be48-6626-5238-d3df-94e9f0a0019d" TargetMode="External"/><Relationship Id="rId451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3cd765ce594a4842b5b936da9abd848a&amp;showComments=1&amp;guid=6882be48-6626-5238-d3df-94e9f0a0019d" TargetMode="External"/><Relationship Id="rId693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5ec3bf7db2b44d449d5dd0563fe8d6f0&amp;showComments=1&amp;guid=6882be48-6626-5238-d3df-94e9f0a0019d" TargetMode="External"/><Relationship Id="rId450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552da23a722b42b394ab1d6bb01e383e&amp;showComments=1&amp;guid=6882be48-6626-5238-d3df-94e9f0a0019d" TargetMode="External"/><Relationship Id="rId692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5ec3bf7db2b44d449d5dd0563fe8d6f0&amp;showComments=1&amp;guid=6882be48-6626-5238-d3df-94e9f0a0019d" TargetMode="External"/><Relationship Id="rId691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9c134dcc73634c9cb6357db7b7639b10&amp;showComments=1&amp;guid=6882be48-6626-5238-d3df-94e9f0a0019d" TargetMode="External"/><Relationship Id="rId690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9c134dcc73634c9cb6357db7b7639b10&amp;showComments=1&amp;guid=6882be48-6626-5238-d3df-94e9f0a0019d" TargetMode="External"/><Relationship Id="rId213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2e4a8f2c24584f669eb296d688eaf268&amp;showComments=1&amp;guid=6882be48-6626-5238-d3df-94e9f0a0019d" TargetMode="External"/><Relationship Id="rId455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92b8e2cbe58f4e93b338e7715858fe96&amp;showComments=1&amp;guid=6882be48-6626-5238-d3df-94e9f0a0019d" TargetMode="External"/><Relationship Id="rId697" Type="http://schemas.openxmlformats.org/officeDocument/2006/relationships/hyperlink" Target="https://photos.google.com/search/Cob.-Sala%20Ar%20Condicionado%20-%20CM-C.6" TargetMode="External"/><Relationship Id="rId212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2e4a8f2c24584f669eb296d688eaf268&amp;showComments=1&amp;guid=6882be48-6626-5238-d3df-94e9f0a0019d" TargetMode="External"/><Relationship Id="rId454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d78ac1b6a2834ec392ccab28a2ad9156&amp;showComments=1&amp;guid=6882be48-6626-5238-d3df-94e9f0a0019d" TargetMode="External"/><Relationship Id="rId696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bd21f4a20b6044bba370eb86db25fa55&amp;showComments=1&amp;guid=6882be48-6626-5238-d3df-94e9f0a0019d" TargetMode="External"/><Relationship Id="rId211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ff510b0ebadb4c6ba4272cb191266583&amp;showComments=1&amp;guid=6882be48-6626-5238-d3df-94e9f0a0019d" TargetMode="External"/><Relationship Id="rId453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d78ac1b6a2834ec392ccab28a2ad9156&amp;showComments=1&amp;guid=6882be48-6626-5238-d3df-94e9f0a0019d" TargetMode="External"/><Relationship Id="rId695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bd21f4a20b6044bba370eb86db25fa55&amp;showComments=1&amp;guid=6882be48-6626-5238-d3df-94e9f0a0019d" TargetMode="External"/><Relationship Id="rId210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ff510b0ebadb4c6ba4272cb191266583&amp;showComments=1&amp;guid=6882be48-6626-5238-d3df-94e9f0a0019d" TargetMode="External"/><Relationship Id="rId452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3cd765ce594a4842b5b936da9abd848a&amp;showComments=1&amp;guid=6882be48-6626-5238-d3df-94e9f0a0019d" TargetMode="External"/><Relationship Id="rId694" Type="http://schemas.openxmlformats.org/officeDocument/2006/relationships/hyperlink" Target="https://photos.google.com/search/Cob.-Sala%20Ar%20Condicionado%20-%20CM-C.5" TargetMode="External"/><Relationship Id="rId491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6a31d731604d4d2692678626b4dc66c7&amp;showComments=1&amp;guid=6882be48-6626-5238-d3df-94e9f0a0019d" TargetMode="External"/><Relationship Id="rId490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6deb1049573541f78f19229389a54d27&amp;showComments=1&amp;guid=6882be48-6626-5238-d3df-94e9f0a0019d" TargetMode="External"/><Relationship Id="rId249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b166593c905d4c4788d086e178623e61&amp;showComments=1&amp;guid=6882be48-6626-5238-d3df-94e9f0a0019d" TargetMode="External"/><Relationship Id="rId248" Type="http://schemas.openxmlformats.org/officeDocument/2006/relationships/hyperlink" Target="https://photos.google.com/search/3%C2%BAPav.-Sala%20de%20Preceptores%201" TargetMode="External"/><Relationship Id="rId247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93c0af5e4e224730abf5887ddca94c15&amp;showComments=1&amp;guid=6882be48-6626-5238-d3df-94e9f0a0019d" TargetMode="External"/><Relationship Id="rId489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6deb1049573541f78f19229389a54d27&amp;showComments=1&amp;guid=6882be48-6626-5238-d3df-94e9f0a0019d" TargetMode="External"/><Relationship Id="rId242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767f05452d1e4364bf198f966cdeb2fe&amp;showComments=1&amp;guid=6882be48-6626-5238-d3df-94e9f0a0019d" TargetMode="External"/><Relationship Id="rId484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c78360283a224c57b7b364386360eb7f&amp;showComments=1&amp;guid=6882be48-6626-5238-d3df-94e9f0a0019d" TargetMode="External"/><Relationship Id="rId241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bf141f789b8c4150996c3733f68ec17c&amp;showComments=1&amp;guid=6882be48-6626-5238-d3df-94e9f0a0019d" TargetMode="External"/><Relationship Id="rId483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c78360283a224c57b7b364386360eb7f&amp;showComments=1&amp;guid=6882be48-6626-5238-d3df-94e9f0a0019d" TargetMode="External"/><Relationship Id="rId240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bf141f789b8c4150996c3733f68ec17c&amp;showComments=1&amp;guid=6882be48-6626-5238-d3df-94e9f0a0019d" TargetMode="External"/><Relationship Id="rId482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a43d8b4132f84e6e8674bb42eecbc090&amp;showComments=1&amp;guid=6882be48-6626-5238-d3df-94e9f0a0019d" TargetMode="External"/><Relationship Id="rId481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a43d8b4132f84e6e8674bb42eecbc090&amp;showComments=1&amp;guid=6882be48-6626-5238-d3df-94e9f0a0019d" TargetMode="External"/><Relationship Id="rId246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93c0af5e4e224730abf5887ddca94c15&amp;showComments=1&amp;guid=6882be48-6626-5238-d3df-94e9f0a0019d" TargetMode="External"/><Relationship Id="rId488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8260da1d38a046ecb385fa4ec6bb41bd&amp;showComments=1&amp;guid=6882be48-6626-5238-d3df-94e9f0a0019d" TargetMode="External"/><Relationship Id="rId245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8bfc9fc997e64412b56257cfe8ec19b1&amp;showComments=1&amp;guid=6882be48-6626-5238-d3df-94e9f0a0019d" TargetMode="External"/><Relationship Id="rId487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8260da1d38a046ecb385fa4ec6bb41bd&amp;showComments=1&amp;guid=6882be48-6626-5238-d3df-94e9f0a0019d" TargetMode="External"/><Relationship Id="rId244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8bfc9fc997e64412b56257cfe8ec19b1&amp;showComments=1&amp;guid=6882be48-6626-5238-d3df-94e9f0a0019d" TargetMode="External"/><Relationship Id="rId486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bec619f76f2843b9b26030b4a278e2fb&amp;showComments=1&amp;guid=6882be48-6626-5238-d3df-94e9f0a0019d" TargetMode="External"/><Relationship Id="rId243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767f05452d1e4364bf198f966cdeb2fe&amp;showComments=1&amp;guid=6882be48-6626-5238-d3df-94e9f0a0019d" TargetMode="External"/><Relationship Id="rId485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bec619f76f2843b9b26030b4a278e2fb&amp;showComments=1&amp;guid=6882be48-6626-5238-d3df-94e9f0a0019d" TargetMode="External"/><Relationship Id="rId480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85b7f9c998834ed28a2861069781f3ae&amp;showComments=1&amp;guid=6882be48-6626-5238-d3df-94e9f0a0019d" TargetMode="External"/><Relationship Id="rId239" Type="http://schemas.openxmlformats.org/officeDocument/2006/relationships/hyperlink" Target="https://photos.google.com/search/3%C2%BAPav.-Sala%20Ar%20Condicionado%20-%20CM3.6" TargetMode="External"/><Relationship Id="rId238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44ab4e1d6b6143908ecff14eb57a305c&amp;showComments=1&amp;guid=6882be48-6626-5238-d3df-94e9f0a0019d" TargetMode="External"/><Relationship Id="rId237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44ab4e1d6b6143908ecff14eb57a305c&amp;showComments=1&amp;guid=6882be48-6626-5238-d3df-94e9f0a0019d" TargetMode="External"/><Relationship Id="rId479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85b7f9c998834ed28a2861069781f3ae&amp;showComments=1&amp;guid=6882be48-6626-5238-d3df-94e9f0a0019d" TargetMode="External"/><Relationship Id="rId236" Type="http://schemas.openxmlformats.org/officeDocument/2006/relationships/hyperlink" Target="https://photos.google.com/search/3%C2%BAPav.-Sala%20Ar%20Condicionado%20-%20CM3.5" TargetMode="External"/><Relationship Id="rId478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a412797dd6e34060a1fec6b77a8c6e03&amp;showComments=1&amp;guid=6882be48-6626-5238-d3df-94e9f0a0019d" TargetMode="External"/><Relationship Id="rId231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83287e360ce84f97934c3b4339cfebf0&amp;showComments=1&amp;guid=6882be48-6626-5238-d3df-94e9f0a0019d" TargetMode="External"/><Relationship Id="rId473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65552ea660674ae29f3caea6189148ca&amp;showComments=1&amp;guid=6882be48-6626-5238-d3df-94e9f0a0019d" TargetMode="External"/><Relationship Id="rId230" Type="http://schemas.openxmlformats.org/officeDocument/2006/relationships/hyperlink" Target="https://photos.google.com/search/3%C2%BAPav.-Sala%20Ar%20Condicionado%20-%20CM3.4" TargetMode="External"/><Relationship Id="rId472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08f01e0defc04a90a750f46dce64c0a5&amp;showComments=1&amp;guid=6882be48-6626-5238-d3df-94e9f0a0019d" TargetMode="External"/><Relationship Id="rId471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08f01e0defc04a90a750f46dce64c0a5&amp;showComments=1&amp;guid=6882be48-6626-5238-d3df-94e9f0a0019d" TargetMode="External"/><Relationship Id="rId470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b6877c0dd3be49f18833f7414eb7a329&amp;showComments=1&amp;guid=6882be48-6626-5238-d3df-94e9f0a0019d" TargetMode="External"/><Relationship Id="rId235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f849eec689f849aebb973e6172dc9240&amp;showComments=1&amp;guid=6882be48-6626-5238-d3df-94e9f0a0019d" TargetMode="External"/><Relationship Id="rId477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a412797dd6e34060a1fec6b77a8c6e03&amp;showComments=1&amp;guid=6882be48-6626-5238-d3df-94e9f0a0019d" TargetMode="External"/><Relationship Id="rId234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f849eec689f849aebb973e6172dc9240&amp;showComments=1&amp;guid=6882be48-6626-5238-d3df-94e9f0a0019d" TargetMode="External"/><Relationship Id="rId476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9fa2de6bba084d4da262a794af1af8d5&amp;showComments=1&amp;guid=6882be48-6626-5238-d3df-94e9f0a0019d" TargetMode="External"/><Relationship Id="rId233" Type="http://schemas.openxmlformats.org/officeDocument/2006/relationships/hyperlink" Target="https://photos.google.com/search/3%C2%BAPav.-Sala%20Ar%20Condicionado%20-%20CM3.4" TargetMode="External"/><Relationship Id="rId475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9fa2de6bba084d4da262a794af1af8d5&amp;showComments=1&amp;guid=6882be48-6626-5238-d3df-94e9f0a0019d" TargetMode="External"/><Relationship Id="rId232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83287e360ce84f97934c3b4339cfebf0&amp;showComments=1&amp;guid=6882be48-6626-5238-d3df-94e9f0a0019d" TargetMode="External"/><Relationship Id="rId474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65552ea660674ae29f3caea6189148ca&amp;showComments=1&amp;guid=6882be48-6626-5238-d3df-94e9f0a0019d" TargetMode="External"/><Relationship Id="rId426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7d843fd1ac5d46579b54ff385380cfb8&amp;showComments=1&amp;guid=6882be48-6626-5238-d3df-94e9f0a0019d" TargetMode="External"/><Relationship Id="rId668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954d430d215a463a9b2d351bcad7425f&amp;showComments=1&amp;guid=6882be48-6626-5238-d3df-94e9f0a0019d" TargetMode="External"/><Relationship Id="rId425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7d843fd1ac5d46579b54ff385380cfb8&amp;showComments=1&amp;guid=6882be48-6626-5238-d3df-94e9f0a0019d" TargetMode="External"/><Relationship Id="rId667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954d430d215a463a9b2d351bcad7425f&amp;showComments=1&amp;guid=6882be48-6626-5238-d3df-94e9f0a0019d" TargetMode="External"/><Relationship Id="rId424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bf46409708ff49ba86a24aa1c139f704&amp;showComments=1&amp;guid=6882be48-6626-5238-d3df-94e9f0a0019d" TargetMode="External"/><Relationship Id="rId666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862a7414641d435ba5b1447756415ac6&amp;showComments=1&amp;guid=6882be48-6626-5238-d3df-94e9f0a0019d" TargetMode="External"/><Relationship Id="rId423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bf46409708ff49ba86a24aa1c139f704&amp;showComments=1&amp;guid=6882be48-6626-5238-d3df-94e9f0a0019d" TargetMode="External"/><Relationship Id="rId665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862a7414641d435ba5b1447756415ac6&amp;showComments=1&amp;guid=6882be48-6626-5238-d3df-94e9f0a0019d" TargetMode="External"/><Relationship Id="rId429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9503c362ed42470b91f0634b2cb0bdb1&amp;showComments=1&amp;guid=6882be48-6626-5238-d3df-94e9f0a0019d" TargetMode="External"/><Relationship Id="rId428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334e58f8fcc1438b86192f56aaa1a10d&amp;showComments=1&amp;guid=6882be48-6626-5238-d3df-94e9f0a0019d" TargetMode="External"/><Relationship Id="rId427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334e58f8fcc1438b86192f56aaa1a10d&amp;showComments=1&amp;guid=6882be48-6626-5238-d3df-94e9f0a0019d" TargetMode="External"/><Relationship Id="rId669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1688a814adee4e4e8c712a67474b98ab&amp;showComments=1&amp;guid=6882be48-6626-5238-d3df-94e9f0a0019d" TargetMode="External"/><Relationship Id="rId660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317aa62aa2874324a2da8523c651774f&amp;showComments=1&amp;guid=6882be48-6626-5238-d3df-94e9f0a0019d" TargetMode="External"/><Relationship Id="rId422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0efc72d52f14469f893f5f9db4d7f245&amp;showComments=1&amp;guid=6882be48-6626-5238-d3df-94e9f0a0019d" TargetMode="External"/><Relationship Id="rId664" Type="http://schemas.openxmlformats.org/officeDocument/2006/relationships/hyperlink" Target="https://photos.google.com/search/Cob.-Sala%20Ar%20Condicionado%20-%20CM-C.10" TargetMode="External"/><Relationship Id="rId421" Type="http://schemas.openxmlformats.org/officeDocument/2006/relationships/hyperlink" Target="https://myhub.autodesk360.com/ue29d95bb/g/projects/20210514412106331/data/dXJuOmFkc2sud2lwcHJvZDpmcy5mb2xkZXI6Y28ucU04eGNtQzdReXliS0NURmJQYUFTQQ/dXJuOmFkc2sud2lwcHJvZDpkbS5saW5lYWdlOldZbnMxMUI5VHMyZTJveWJmSWdIaXc/viewer?version=1&amp;commentId=urn:adsk.comments:social.comment:0efc72d52f14469f893f5f9db4d7f245&amp;showComments=1&amp;guid=6882be48-6626-5238-d3df-94e9f0a0019d" TargetMode="External"/><Relationship Id="rId663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be4ea21349ec46d995a19ff96536fc0d&amp;showComments=1&amp;guid=6882be48-6626-5238-d3df-94e9f0a0019d" TargetMode="External"/><Relationship Id="rId420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515815924e5c49919147778180d97dd9&amp;showComments=1&amp;guid=6882be48-6626-5238-d3df-94e9f0a0019d" TargetMode="External"/><Relationship Id="rId662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be4ea21349ec46d995a19ff96536fc0d&amp;showComments=1&amp;guid=6882be48-6626-5238-d3df-94e9f0a0019d" TargetMode="External"/><Relationship Id="rId661" Type="http://schemas.openxmlformats.org/officeDocument/2006/relationships/hyperlink" Target="https://photos.google.com/share/AF1QipO7rxQRzYjoDn4x4jEw7CpjHs1CSeqq4rMyJFGTV7L178ibLOmz_I05hxGuaCUVjg?key=cmZ4bVJicVgxRVNsZ012TEZ6RXVEM0FFU1VfQzdn" TargetMode="External"/><Relationship Id="rId415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c55b34d21cfa4c9e83007921eb1b27d5&amp;showComments=1&amp;guid=6882be48-6626-5238-d3df-94e9f0a0019d" TargetMode="External"/><Relationship Id="rId657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showComments=1&amp;guid=6882be48-6626-5238-d3df-94e9f0a0019d&amp;commentId=urn:adsk.comments:social.comment:80f848950add4311bea983b65c7bbb74" TargetMode="External"/><Relationship Id="rId899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5d64aa2f9f1d4b699d77bb45f631e8ed&amp;showComments=1&amp;guid=6882be48-6626-5238-d3df-94e9f0a0019d" TargetMode="External"/><Relationship Id="rId414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30b70129a5494a598b4d5e5390333762&amp;showComments=1&amp;guid=6882be48-6626-5238-d3df-94e9f0a0019d" TargetMode="External"/><Relationship Id="rId656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showComments=1&amp;guid=6882be48-6626-5238-d3df-94e9f0a0019d&amp;commentId=urn:adsk.comments:social.comment:80f848950add4311bea983b65c7bbb74" TargetMode="External"/><Relationship Id="rId898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5d64aa2f9f1d4b699d77bb45f631e8ed&amp;showComments=1&amp;guid=6882be48-6626-5238-d3df-94e9f0a0019d" TargetMode="External"/><Relationship Id="rId413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30b70129a5494a598b4d5e5390333762&amp;showComments=1&amp;guid=6882be48-6626-5238-d3df-94e9f0a0019d" TargetMode="External"/><Relationship Id="rId655" Type="http://schemas.openxmlformats.org/officeDocument/2006/relationships/hyperlink" Target="https://photos.google.com/share/AF1QipONT6Rnk_uloJKOu47N2TqG9MWp6cGPs6YKN1dl69ztRiO1wVYEL7wjmPVcSPHoJw?key=M1hOVzM3STNsS1RTWkJpWnVvVWsyWmZ1cXNQSXpB" TargetMode="External"/><Relationship Id="rId897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2f922238482042509dc3d2921626799a&amp;showComments=1&amp;guid=6882be48-6626-5238-d3df-94e9f0a0019d" TargetMode="External"/><Relationship Id="rId412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ae4525c65fea47c6b3d5e6b1e5adaed5&amp;showComments=1&amp;guid=6882be48-6626-5238-d3df-94e9f0a0019d" TargetMode="External"/><Relationship Id="rId654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ac74aea21f7c494c9132b984bb3405c7&amp;showComments=1&amp;guid=6882be48-6626-5238-d3df-94e9f0a0019d" TargetMode="External"/><Relationship Id="rId896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2f922238482042509dc3d2921626799a&amp;showComments=1&amp;guid=6882be48-6626-5238-d3df-94e9f0a0019d" TargetMode="External"/><Relationship Id="rId419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515815924e5c49919147778180d97dd9&amp;showComments=1&amp;guid=6882be48-6626-5238-d3df-94e9f0a0019d" TargetMode="External"/><Relationship Id="rId418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4215a2ebcb6548b8ab6fcf9c9a931441&amp;showComments=1&amp;guid=6882be48-6626-5238-d3df-94e9f0a0019d" TargetMode="External"/><Relationship Id="rId417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4215a2ebcb6548b8ab6fcf9c9a931441&amp;showComments=1&amp;guid=6882be48-6626-5238-d3df-94e9f0a0019d" TargetMode="External"/><Relationship Id="rId659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317aa62aa2874324a2da8523c651774f&amp;showComments=1&amp;guid=6882be48-6626-5238-d3df-94e9f0a0019d" TargetMode="External"/><Relationship Id="rId416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c55b34d21cfa4c9e83007921eb1b27d5&amp;showComments=1&amp;guid=6882be48-6626-5238-d3df-94e9f0a0019d" TargetMode="External"/><Relationship Id="rId658" Type="http://schemas.openxmlformats.org/officeDocument/2006/relationships/hyperlink" Target="https://photos.google.com/search/CMaq.-Reservat%C3%B3rios" TargetMode="External"/><Relationship Id="rId891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c671f14a0a764ae3931ba4b764eb0bfe&amp;showComments=1&amp;guid=6882be48-6626-5238-d3df-94e9f0a0019d" TargetMode="External"/><Relationship Id="rId890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c671f14a0a764ae3931ba4b764eb0bfe&amp;showComments=1&amp;guid=6882be48-6626-5238-d3df-94e9f0a0019d" TargetMode="External"/><Relationship Id="rId411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ae4525c65fea47c6b3d5e6b1e5adaed5&amp;showComments=1&amp;guid=6882be48-6626-5238-d3df-94e9f0a0019d" TargetMode="External"/><Relationship Id="rId653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ac74aea21f7c494c9132b984bb3405c7&amp;showComments=1&amp;guid=6882be48-6626-5238-d3df-94e9f0a0019d" TargetMode="External"/><Relationship Id="rId895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" TargetMode="External"/><Relationship Id="rId410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45df94d4a3a844b48e57e28ac1e38814&amp;showComments=1&amp;guid=6882be48-6626-5238-d3df-94e9f0a0019d" TargetMode="External"/><Relationship Id="rId652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7c572bafa8b64186ab7409fbfaf328a0" TargetMode="External"/><Relationship Id="rId894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" TargetMode="External"/><Relationship Id="rId651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7c572bafa8b64186ab7409fbfaf328a0" TargetMode="External"/><Relationship Id="rId893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da4e49ce1f41495b8db272d155470f3d&amp;showComments=1&amp;guid=6882be48-6626-5238-d3df-94e9f0a0019d" TargetMode="External"/><Relationship Id="rId650" Type="http://schemas.openxmlformats.org/officeDocument/2006/relationships/hyperlink" Target="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642e8c82fc16447f9d7c5c24994e960a" TargetMode="External"/><Relationship Id="rId892" Type="http://schemas.openxmlformats.org/officeDocument/2006/relationships/hyperlink" Target="https://myhub.autodesk360.com/ue29d95bb/g/projects/20210514412106331/data/dXJuOmFkc2sud2lwcHJvZDpmcy5mb2xkZXI6Y28ucU04eGNtQzdReXliS0NURmJQYUFTQQ/dXJuOmFkc2sud2lwcHJvZDpkbS5saW5lYWdlOmxVNWxaQmx4VGZXNXZnbWNqenZqMkE/viewer?version=1&amp;commentId=urn:adsk.comments:social.comment:da4e49ce1f41495b8db272d155470f3d&amp;showComments=1&amp;guid=6882be48-6626-5238-d3df-94e9f0a0019d" TargetMode="External"/><Relationship Id="rId206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d8d5a6430e5d46ada657e1f95f393664&amp;showComments=1&amp;guid=6882be48-6626-5238-d3df-94e9f0a0019d" TargetMode="External"/><Relationship Id="rId448" Type="http://schemas.openxmlformats.org/officeDocument/2006/relationships/hyperlink" Target="https://photos.google.com/search/5%C2%BAPav.-Passarela%20Setor%20B" TargetMode="External"/><Relationship Id="rId205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cbb9c2576428415a8d6c900992198405&amp;showComments=1&amp;guid=6882be48-6626-5238-d3df-94e9f0a0019d" TargetMode="External"/><Relationship Id="rId447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f4b3a85ec4794fd88d32a8f512b13f4d&amp;showComments=1&amp;guid=6882be48-6626-5238-d3df-94e9f0a0019d" TargetMode="External"/><Relationship Id="rId689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b5169eaede5a4dceaf4e31b7163d6e14&amp;showComments=1&amp;guid=6882be48-6626-5238-d3df-94e9f0a0019d" TargetMode="External"/><Relationship Id="rId204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cbb9c2576428415a8d6c900992198405&amp;showComments=1&amp;guid=6882be48-6626-5238-d3df-94e9f0a0019d" TargetMode="External"/><Relationship Id="rId446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f4b3a85ec4794fd88d32a8f512b13f4d&amp;showComments=1&amp;guid=6882be48-6626-5238-d3df-94e9f0a0019d" TargetMode="External"/><Relationship Id="rId688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b5169eaede5a4dceaf4e31b7163d6e14&amp;showComments=1&amp;guid=6882be48-6626-5238-d3df-94e9f0a0019d" TargetMode="External"/><Relationship Id="rId203" Type="http://schemas.openxmlformats.org/officeDocument/2006/relationships/hyperlink" Target="https://photos.google.com/search/3%C2%BAPav.-Corredor%20Central" TargetMode="External"/><Relationship Id="rId445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460bdc2bd4b04700bedf4b63024dc86c&amp;showComments=1&amp;guid=6882be48-6626-5238-d3df-94e9f0a0019d" TargetMode="External"/><Relationship Id="rId687" Type="http://schemas.openxmlformats.org/officeDocument/2006/relationships/hyperlink" Target="https://photos.google.com/search/Cob.-Sala%20Ar%20Condicionado%20-%20CM-C.13" TargetMode="External"/><Relationship Id="rId209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7d843fd1ac5d46579b54ff385380cfb8&amp;showComments=1&amp;guid=6882be48-6626-5238-d3df-94e9f0a0019d" TargetMode="External"/><Relationship Id="rId208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7d843fd1ac5d46579b54ff385380cfb8&amp;showComments=1&amp;guid=6882be48-6626-5238-d3df-94e9f0a0019d" TargetMode="External"/><Relationship Id="rId207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d8d5a6430e5d46ada657e1f95f393664&amp;showComments=1&amp;guid=6882be48-6626-5238-d3df-94e9f0a0019d" TargetMode="External"/><Relationship Id="rId449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552da23a722b42b394ab1d6bb01e383e&amp;showComments=1&amp;guid=6882be48-6626-5238-d3df-94e9f0a0019d" TargetMode="External"/><Relationship Id="rId440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0962b26d1f204033b1dbc3cac9789021&amp;showComments=1&amp;guid=6882be48-6626-5238-d3df-94e9f0a0019d" TargetMode="External"/><Relationship Id="rId682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guid=6882be48-6626-5238-d3df-94e9f0a0019d&amp;commentId=urn:adsk.comments:social.comment:74e48c31d4f44a27a63b9afc368f4629" TargetMode="External"/><Relationship Id="rId681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guid=6882be48-6626-5238-d3df-94e9f0a0019d&amp;commentId=urn:adsk.comments:social.comment:74e48c31d4f44a27a63b9afc368f4629" TargetMode="External"/><Relationship Id="rId680" Type="http://schemas.openxmlformats.org/officeDocument/2006/relationships/hyperlink" Target="https://photos.google.com/search/Cob.-Circula%C3%A7%C3%A3o%20Hall%20Elevadores%20Setor%20B" TargetMode="External"/><Relationship Id="rId202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ff3880cb1f3947b5b69a95daf6318667&amp;showComments=1&amp;guid=6882be48-6626-5238-d3df-94e9f0a0019d" TargetMode="External"/><Relationship Id="rId444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460bdc2bd4b04700bedf4b63024dc86c&amp;showComments=1&amp;guid=6882be48-6626-5238-d3df-94e9f0a0019d" TargetMode="External"/><Relationship Id="rId686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66963e592caf4ff5b6803202d821e9c5&amp;showComments=1&amp;guid=6882be48-6626-5238-d3df-94e9f0a0019d" TargetMode="External"/><Relationship Id="rId201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ff3880cb1f3947b5b69a95daf6318667&amp;showComments=1&amp;guid=6882be48-6626-5238-d3df-94e9f0a0019d" TargetMode="External"/><Relationship Id="rId443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showComments=1&amp;guid=6882be48-6626-5238-d3df-94e9f0a0019d" TargetMode="External"/><Relationship Id="rId685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66963e592caf4ff5b6803202d821e9c5&amp;showComments=1&amp;guid=6882be48-6626-5238-d3df-94e9f0a0019d" TargetMode="External"/><Relationship Id="rId200" Type="http://schemas.openxmlformats.org/officeDocument/2006/relationships/hyperlink" Target="https://myhub.autodesk360.com/ue29d95bb/g/projects/20210514412106331/data/dXJuOmFkc2sud2lwcHJvZDpmcy5mb2xkZXI6Y28ucU04eGNtQzdReXliS0NURmJQYUFTQQ/dXJuOmFkc2sud2lwcHJvZDpkbS5saW5lYWdlOnVra1VxSVhpUnF1LWxsVktOREhscFE/viewer?version=1&amp;commentId=urn:adsk.comments:social.comment:71c034f6ba2d41aea687092d6ca80a0c&amp;showComments=1&amp;guid=6882be48-6626-5238-d3df-94e9f0a0019d" TargetMode="External"/><Relationship Id="rId442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showComments=1&amp;guid=6882be48-6626-5238-d3df-94e9f0a0019d" TargetMode="External"/><Relationship Id="rId684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guid=6882be48-6626-5238-d3df-94e9f0a0019d&amp;commentId=urn:adsk.comments:social.comment:dc44a840f31246c19e1f587008117d70" TargetMode="External"/><Relationship Id="rId441" Type="http://schemas.openxmlformats.org/officeDocument/2006/relationships/hyperlink" Target="https://photos.google.com/search/5%C2%BAPav.-Hall%20Elevador%20P%C3%BAblico" TargetMode="External"/><Relationship Id="rId683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guid=6882be48-6626-5238-d3df-94e9f0a0019d&amp;commentId=urn:adsk.comments:social.comment:dc44a840f31246c19e1f587008117d70" TargetMode="External"/><Relationship Id="rId437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ffc3987f309f49da80d0ef933e4fc84e&amp;showComments=1&amp;guid=6882be48-6626-5238-d3df-94e9f0a0019d" TargetMode="External"/><Relationship Id="rId679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dc44a840f31246c19e1f587008117d70&amp;showComments=1&amp;guid=6882be48-6626-5238-d3df-94e9f0a0019d" TargetMode="External"/><Relationship Id="rId436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8fa70d81bda147f8ad9a8f80620827ef&amp;showComments=1&amp;guid=6882be48-6626-5238-d3df-94e9f0a0019d" TargetMode="External"/><Relationship Id="rId678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dc44a840f31246c19e1f587008117d70&amp;showComments=1&amp;guid=6882be48-6626-5238-d3df-94e9f0a0019d" TargetMode="External"/><Relationship Id="rId435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8fa70d81bda147f8ad9a8f80620827ef&amp;showComments=1&amp;guid=6882be48-6626-5238-d3df-94e9f0a0019d" TargetMode="External"/><Relationship Id="rId677" Type="http://schemas.openxmlformats.org/officeDocument/2006/relationships/hyperlink" Target="https://photos.google.com/search/Cob.-Circula%C3%A7%C3%A3o%20Hall%20Elevadores%20Setor%20A" TargetMode="External"/><Relationship Id="rId434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e143546818274d8494b369b031126381&amp;showComments=1&amp;guid=6882be48-6626-5238-d3df-94e9f0a0019d" TargetMode="External"/><Relationship Id="rId676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74e48c31d4f44a27a63b9afc368f4629&amp;showComments=1&amp;guid=6882be48-6626-5238-d3df-94e9f0a0019d" TargetMode="External"/><Relationship Id="rId439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0962b26d1f204033b1dbc3cac9789021&amp;showComments=1&amp;guid=6882be48-6626-5238-d3df-94e9f0a0019d" TargetMode="External"/><Relationship Id="rId438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ffc3987f309f49da80d0ef933e4fc84e&amp;showComments=1&amp;guid=6882be48-6626-5238-d3df-94e9f0a0019d" TargetMode="External"/><Relationship Id="rId671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397cfe8d20c34787b9ea0df124d5d793&amp;showComments=1&amp;guid=6882be48-6626-5238-d3df-94e9f0a0019d" TargetMode="External"/><Relationship Id="rId670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1688a814adee4e4e8c712a67474b98ab&amp;showComments=1&amp;guid=6882be48-6626-5238-d3df-94e9f0a0019d" TargetMode="External"/><Relationship Id="rId433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e143546818274d8494b369b031126381&amp;showComments=1&amp;guid=6882be48-6626-5238-d3df-94e9f0a0019d" TargetMode="External"/><Relationship Id="rId675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74e48c31d4f44a27a63b9afc368f4629&amp;showComments=1&amp;guid=6882be48-6626-5238-d3df-94e9f0a0019d" TargetMode="External"/><Relationship Id="rId432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6ce382cadc78446194f4c80de202cf21&amp;showComments=1&amp;guid=6882be48-6626-5238-d3df-94e9f0a0019d" TargetMode="External"/><Relationship Id="rId674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c4bcfeb7ea0e4ea5b71e9e58b24f3605&amp;showComments=1&amp;guid=6882be48-6626-5238-d3df-94e9f0a0019d" TargetMode="External"/><Relationship Id="rId431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6ce382cadc78446194f4c80de202cf21&amp;showComments=1&amp;guid=6882be48-6626-5238-d3df-94e9f0a0019d" TargetMode="External"/><Relationship Id="rId673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c4bcfeb7ea0e4ea5b71e9e58b24f3605&amp;showComments=1&amp;guid=6882be48-6626-5238-d3df-94e9f0a0019d" TargetMode="External"/><Relationship Id="rId430" Type="http://schemas.openxmlformats.org/officeDocument/2006/relationships/hyperlink" Target="https://myhub.autodesk360.com/ue29d95bb/g/projects/20210514412106331/data/dXJuOmFkc2sud2lwcHJvZDpmcy5mb2xkZXI6Y28ucU04eGNtQzdReXliS0NURmJQYUFTQQ/dXJuOmFkc2sud2lwcHJvZDpkbS5saW5lYWdlOnBSS2FRanAtVERxb0dvMG5IQkZDa0E/viewer?version=1&amp;commentId=urn:adsk.comments:social.comment:9503c362ed42470b91f0634b2cb0bdb1&amp;showComments=1&amp;guid=6882be48-6626-5238-d3df-94e9f0a0019d" TargetMode="External"/><Relationship Id="rId672" Type="http://schemas.openxmlformats.org/officeDocument/2006/relationships/hyperlink" Target="https://myhub.autodesk360.com/ue29d95bb/g/projects/20210514412106331/data/dXJuOmFkc2sud2lwcHJvZDpmcy5mb2xkZXI6Y28ucU04eGNtQzdReXliS0NURmJQYUFTQQ/dXJuOmFkc2sud2lwcHJvZDpkbS5saW5lYWdlOmNGNGdObGlMUmh1bHhPbkt6VkJhdXc/viewer?version=1&amp;commentId=urn:adsk.comments:social.comment:397cfe8d20c34787b9ea0df124d5d793&amp;showComments=1&amp;guid=6882be48-6626-5238-d3df-94e9f0a0019d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Col="1"/>
  <cols>
    <col customWidth="1" min="1" max="1" width="38.14"/>
    <col customWidth="1" min="2" max="2" width="31.29"/>
    <col customWidth="1" min="3" max="3" width="22.43" outlineLevel="1"/>
    <col customWidth="1" min="4" max="4" width="14.14"/>
    <col customWidth="1" min="5" max="5" width="19.57"/>
    <col customWidth="1" min="6" max="6" width="17.0"/>
    <col customWidth="1" min="7" max="7" width="18.43"/>
    <col customWidth="1" min="8" max="8" width="32.29" outlineLevel="1"/>
    <col customWidth="1" min="9" max="9" width="11.43" outlineLevel="1"/>
    <col customWidth="1" min="10" max="10" width="12.71" outlineLevel="1"/>
    <col customWidth="1" min="11" max="11" width="21.0"/>
    <col customWidth="1" min="12" max="12" width="28.43"/>
    <col customWidth="1" min="13" max="13" width="9.29"/>
    <col customWidth="1" min="14" max="14" width="16.29"/>
    <col customWidth="1" min="15" max="15" width="10.0"/>
    <col customWidth="1" min="16" max="16" width="25.14"/>
    <col customWidth="1" min="17" max="19" width="13.14"/>
    <col customWidth="1" min="20" max="21" width="10.14"/>
    <col customWidth="1" min="22" max="22" width="28.43"/>
  </cols>
  <sheetData>
    <row r="1">
      <c r="A1" s="1"/>
      <c r="B1" s="1"/>
      <c r="C1" s="1"/>
      <c r="D1" s="2"/>
      <c r="E1" s="1"/>
      <c r="F1" s="3"/>
      <c r="G1" s="4"/>
      <c r="H1" s="5"/>
      <c r="I1" s="6"/>
      <c r="J1" s="2"/>
      <c r="K1" s="2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ht="22.5" customHeight="1">
      <c r="A2" s="8" t="s">
        <v>0</v>
      </c>
      <c r="B2" s="9" t="s">
        <v>1</v>
      </c>
      <c r="C2" s="9" t="s">
        <v>2</v>
      </c>
      <c r="D2" s="10" t="s">
        <v>3</v>
      </c>
      <c r="E2" s="9" t="s">
        <v>4</v>
      </c>
      <c r="F2" s="11" t="s">
        <v>5</v>
      </c>
      <c r="G2" s="12" t="s">
        <v>6</v>
      </c>
      <c r="H2" s="13" t="s">
        <v>7</v>
      </c>
      <c r="I2" s="14" t="s">
        <v>8</v>
      </c>
      <c r="J2" s="10" t="s">
        <v>9</v>
      </c>
      <c r="K2" s="10" t="s">
        <v>10</v>
      </c>
      <c r="L2" s="14" t="s">
        <v>11</v>
      </c>
      <c r="M2" s="15" t="s">
        <v>12</v>
      </c>
      <c r="N2" s="15" t="s">
        <v>13</v>
      </c>
      <c r="O2" s="15" t="s">
        <v>14</v>
      </c>
      <c r="P2" s="15" t="s">
        <v>15</v>
      </c>
      <c r="Q2" s="15" t="s">
        <v>16</v>
      </c>
      <c r="R2" s="15" t="s">
        <v>17</v>
      </c>
      <c r="S2" s="15" t="s">
        <v>18</v>
      </c>
      <c r="T2" s="15" t="s">
        <v>19</v>
      </c>
      <c r="U2" s="15" t="s">
        <v>20</v>
      </c>
      <c r="V2" s="15" t="s">
        <v>21</v>
      </c>
    </row>
    <row r="3" ht="22.5" customHeight="1">
      <c r="A3" s="16" t="str">
        <f t="shared" ref="A3:A39" si="1">CONCATENATE(H3,"-",B3)</f>
        <v>TJ-04º Pav.-Sala Elétrica E2-3QD-E3</v>
      </c>
      <c r="B3" s="16" t="s">
        <v>22</v>
      </c>
      <c r="C3" s="17" t="s">
        <v>23</v>
      </c>
      <c r="D3" s="18"/>
      <c r="E3" s="19" t="s">
        <v>24</v>
      </c>
      <c r="F3" s="20" t="s">
        <v>25</v>
      </c>
      <c r="G3" s="21" t="s">
        <v>26</v>
      </c>
      <c r="H3" s="22" t="s">
        <v>27</v>
      </c>
      <c r="I3" s="23"/>
      <c r="J3" s="24" t="str">
        <f>HYPERLINK( VLOOKUP(H3,'Localização'!A3:K39,9),"&lt;=Link")</f>
        <v>&lt;=Link</v>
      </c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</row>
    <row r="4" ht="22.5" customHeight="1">
      <c r="A4" s="16" t="str">
        <f t="shared" si="1"/>
        <v>TJ-04º Pav.-Sala Elétrica E3-</v>
      </c>
      <c r="B4" s="16"/>
      <c r="C4" s="17" t="s">
        <v>28</v>
      </c>
      <c r="D4" s="18"/>
      <c r="E4" s="19" t="s">
        <v>24</v>
      </c>
      <c r="F4" s="20" t="s">
        <v>25</v>
      </c>
      <c r="G4" s="21" t="s">
        <v>26</v>
      </c>
      <c r="H4" s="22" t="s">
        <v>29</v>
      </c>
      <c r="I4" s="23"/>
      <c r="J4" s="24" t="str">
        <f>HYPERLINK( VLOOKUP(H4,'Localização'!A4:K39,9),"&lt;=Link")</f>
        <v>&lt;=Link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ht="22.5" customHeight="1">
      <c r="A5" s="16" t="str">
        <f t="shared" si="1"/>
        <v>TJ-04º Pav.-Sala Elétrica W2-</v>
      </c>
      <c r="B5" s="16"/>
      <c r="C5" s="17" t="s">
        <v>30</v>
      </c>
      <c r="D5" s="18"/>
      <c r="E5" s="19" t="s">
        <v>24</v>
      </c>
      <c r="F5" s="20" t="s">
        <v>25</v>
      </c>
      <c r="G5" s="21" t="s">
        <v>26</v>
      </c>
      <c r="H5" s="22" t="s">
        <v>31</v>
      </c>
      <c r="I5" s="23"/>
      <c r="J5" s="24" t="str">
        <f>HYPERLINK( VLOOKUP(H5,'Localização'!A5:K39,9),"&lt;=Link")</f>
        <v>&lt;=Link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</row>
    <row r="6" ht="22.5" customHeight="1">
      <c r="A6" s="16" t="str">
        <f t="shared" si="1"/>
        <v>TJ-04º Pav.-Sala Elétrica W3-</v>
      </c>
      <c r="B6" s="16"/>
      <c r="C6" s="17" t="s">
        <v>32</v>
      </c>
      <c r="D6" s="18"/>
      <c r="E6" s="19" t="s">
        <v>24</v>
      </c>
      <c r="F6" s="20" t="s">
        <v>25</v>
      </c>
      <c r="G6" s="21" t="s">
        <v>26</v>
      </c>
      <c r="H6" s="22" t="s">
        <v>33</v>
      </c>
      <c r="I6" s="23"/>
      <c r="J6" s="24" t="str">
        <f>HYPERLINK( VLOOKUP(H6,'Localização'!A6:K39,9),"&lt;=Link")</f>
        <v>&lt;=Link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</row>
    <row r="7" ht="22.5" customHeight="1">
      <c r="A7" s="16" t="str">
        <f t="shared" si="1"/>
        <v>TJ-12º Pav.-Sala Elétrica E2-QDEC-12E2</v>
      </c>
      <c r="B7" s="16" t="s">
        <v>34</v>
      </c>
      <c r="C7" s="17"/>
      <c r="D7" s="18"/>
      <c r="E7" s="19" t="s">
        <v>35</v>
      </c>
      <c r="F7" s="20" t="s">
        <v>25</v>
      </c>
      <c r="G7" s="21" t="s">
        <v>36</v>
      </c>
      <c r="H7" s="22" t="s">
        <v>37</v>
      </c>
      <c r="I7" s="23"/>
      <c r="J7" s="23" t="str">
        <f>HYPERLINK( VLOOKUP(H7,'Localização'!A7:K39,9),"&lt;=Link")</f>
        <v>&lt;=Link</v>
      </c>
      <c r="K7" s="25"/>
      <c r="L7" s="26" t="s">
        <v>38</v>
      </c>
      <c r="M7" s="25"/>
      <c r="N7" s="25"/>
      <c r="O7" s="25"/>
      <c r="P7" s="25"/>
      <c r="Q7" s="25"/>
      <c r="R7" s="25"/>
      <c r="S7" s="25"/>
      <c r="T7" s="25"/>
      <c r="U7" s="25"/>
      <c r="V7" s="25"/>
    </row>
    <row r="8" ht="22.5" customHeight="1">
      <c r="A8" s="16" t="str">
        <f t="shared" si="1"/>
        <v>TJ-12º Pav.-Sala Elétrica E2-QDEE-12E2</v>
      </c>
      <c r="B8" s="16" t="s">
        <v>39</v>
      </c>
      <c r="C8" s="17"/>
      <c r="D8" s="18"/>
      <c r="E8" s="19" t="s">
        <v>35</v>
      </c>
      <c r="F8" s="20" t="s">
        <v>25</v>
      </c>
      <c r="G8" s="21" t="s">
        <v>36</v>
      </c>
      <c r="H8" s="22" t="s">
        <v>37</v>
      </c>
      <c r="I8" s="23"/>
      <c r="J8" s="23" t="str">
        <f>HYPERLINK( VLOOKUP(H8,'Localização'!A8:K39,9),"&lt;=Link")</f>
        <v>&lt;=Link</v>
      </c>
      <c r="K8" s="25"/>
      <c r="L8" s="25" t="s">
        <v>40</v>
      </c>
      <c r="M8" s="25"/>
      <c r="N8" s="25"/>
      <c r="O8" s="25"/>
      <c r="P8" s="25"/>
      <c r="Q8" s="25"/>
      <c r="R8" s="25"/>
      <c r="S8" s="25"/>
      <c r="T8" s="25"/>
      <c r="U8" s="25"/>
      <c r="V8" s="25"/>
    </row>
    <row r="9" ht="22.5" customHeight="1">
      <c r="A9" s="16" t="str">
        <f t="shared" si="1"/>
        <v>TJ-12º Pav.-Sala Elétrica E2-QDI-12E2</v>
      </c>
      <c r="B9" s="16" t="s">
        <v>41</v>
      </c>
      <c r="C9" s="17"/>
      <c r="D9" s="18"/>
      <c r="E9" s="19" t="s">
        <v>35</v>
      </c>
      <c r="F9" s="20" t="s">
        <v>25</v>
      </c>
      <c r="G9" s="21" t="s">
        <v>36</v>
      </c>
      <c r="H9" s="22" t="s">
        <v>37</v>
      </c>
      <c r="I9" s="23"/>
      <c r="J9" s="23" t="str">
        <f>HYPERLINK( VLOOKUP(H9,'Localização'!A9:K39,9),"&lt;=Link")</f>
        <v>&lt;=Link</v>
      </c>
      <c r="K9" s="25"/>
      <c r="L9" s="25" t="s">
        <v>42</v>
      </c>
      <c r="M9" s="25"/>
      <c r="N9" s="25"/>
      <c r="O9" s="25"/>
      <c r="P9" s="25"/>
      <c r="Q9" s="25"/>
      <c r="R9" s="25"/>
      <c r="S9" s="25"/>
      <c r="T9" s="25"/>
      <c r="U9" s="25"/>
      <c r="V9" s="25"/>
    </row>
    <row r="10" ht="22.5" customHeight="1">
      <c r="A10" s="16" t="str">
        <f t="shared" si="1"/>
        <v>TJ-12º Pav.-Sala Elétrica E3-QDEC-12E3</v>
      </c>
      <c r="B10" s="16" t="s">
        <v>23</v>
      </c>
      <c r="C10" s="17"/>
      <c r="D10" s="18"/>
      <c r="E10" s="19" t="s">
        <v>35</v>
      </c>
      <c r="F10" s="20" t="s">
        <v>25</v>
      </c>
      <c r="G10" s="21" t="s">
        <v>36</v>
      </c>
      <c r="H10" s="22" t="s">
        <v>43</v>
      </c>
      <c r="I10" s="23"/>
      <c r="J10" s="23" t="str">
        <f>HYPERLINK( VLOOKUP(H10,'Localização'!A10:K39,9),"&lt;=Link")</f>
        <v>&lt;=Link</v>
      </c>
      <c r="K10" s="25"/>
      <c r="L10" s="25" t="s">
        <v>44</v>
      </c>
      <c r="M10" s="25"/>
      <c r="N10" s="25"/>
      <c r="O10" s="25"/>
      <c r="P10" s="25"/>
      <c r="Q10" s="25"/>
      <c r="R10" s="25"/>
      <c r="S10" s="25"/>
      <c r="T10" s="25"/>
      <c r="U10" s="25"/>
      <c r="V10" s="25"/>
    </row>
    <row r="11" ht="22.5" customHeight="1">
      <c r="A11" s="16" t="str">
        <f t="shared" si="1"/>
        <v>TJ-12º Pav.-Sala Elétrica E3-QDEC-13E3</v>
      </c>
      <c r="B11" s="16" t="s">
        <v>28</v>
      </c>
      <c r="C11" s="17"/>
      <c r="D11" s="18"/>
      <c r="E11" s="19" t="s">
        <v>45</v>
      </c>
      <c r="F11" s="20" t="s">
        <v>25</v>
      </c>
      <c r="G11" s="21" t="s">
        <v>36</v>
      </c>
      <c r="H11" s="22" t="s">
        <v>43</v>
      </c>
      <c r="I11" s="23"/>
      <c r="J11" s="23" t="str">
        <f>HYPERLINK( VLOOKUP(H11,'Localização'!A11:K39,9),"&lt;=Link")</f>
        <v>&lt;=Link</v>
      </c>
      <c r="K11" s="25"/>
      <c r="L11" s="25" t="s">
        <v>46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</row>
    <row r="12" ht="22.5" customHeight="1">
      <c r="A12" s="16" t="str">
        <f t="shared" si="1"/>
        <v>TJ-12º Pav.-Sala Elétrica E3-QDEE-12E3</v>
      </c>
      <c r="B12" s="16" t="s">
        <v>30</v>
      </c>
      <c r="C12" s="17"/>
      <c r="D12" s="18"/>
      <c r="E12" s="19" t="s">
        <v>35</v>
      </c>
      <c r="F12" s="20" t="s">
        <v>25</v>
      </c>
      <c r="G12" s="21" t="s">
        <v>36</v>
      </c>
      <c r="H12" s="22" t="s">
        <v>43</v>
      </c>
      <c r="I12" s="23"/>
      <c r="J12" s="23" t="str">
        <f>HYPERLINK( VLOOKUP(H12,'Localização'!A12:K39,9),"&lt;=Link")</f>
        <v>&lt;=Link</v>
      </c>
      <c r="K12" s="25"/>
      <c r="L12" s="25" t="s">
        <v>47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</row>
    <row r="13" ht="22.5" customHeight="1">
      <c r="A13" s="16" t="str">
        <f t="shared" si="1"/>
        <v>TJ-12º Pav.-Sala Elétrica E3-QDI-12E3</v>
      </c>
      <c r="B13" s="16" t="s">
        <v>32</v>
      </c>
      <c r="C13" s="17"/>
      <c r="D13" s="18"/>
      <c r="E13" s="19" t="s">
        <v>35</v>
      </c>
      <c r="F13" s="20" t="s">
        <v>25</v>
      </c>
      <c r="G13" s="21" t="s">
        <v>36</v>
      </c>
      <c r="H13" s="22" t="s">
        <v>43</v>
      </c>
      <c r="I13" s="23"/>
      <c r="J13" s="23" t="str">
        <f>HYPERLINK( VLOOKUP(H13,'Localização'!A13:K39,9),"&lt;=Link")</f>
        <v>&lt;=Link</v>
      </c>
      <c r="K13" s="25"/>
      <c r="L13" s="25" t="s">
        <v>48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</row>
    <row r="14" ht="22.5" customHeight="1">
      <c r="A14" s="16" t="str">
        <f t="shared" si="1"/>
        <v>TJ-12º Pav.-Sala Elétrica W2-QDEC-12W2</v>
      </c>
      <c r="B14" s="16" t="s">
        <v>49</v>
      </c>
      <c r="C14" s="17"/>
      <c r="D14" s="18"/>
      <c r="E14" s="27" t="s">
        <v>35</v>
      </c>
      <c r="F14" s="20" t="s">
        <v>25</v>
      </c>
      <c r="G14" s="21" t="s">
        <v>36</v>
      </c>
      <c r="H14" s="22" t="s">
        <v>50</v>
      </c>
      <c r="I14" s="23"/>
      <c r="J14" s="24" t="str">
        <f>HYPERLINK( VLOOKUP(H14,'Localização'!A14:K39,9),"&lt;=Link")</f>
        <v>&lt;=Link</v>
      </c>
      <c r="K14" s="25"/>
      <c r="L14" s="25" t="s">
        <v>51</v>
      </c>
      <c r="M14" s="25"/>
      <c r="N14" s="25"/>
      <c r="O14" s="25"/>
      <c r="P14" s="25"/>
      <c r="Q14" s="25"/>
      <c r="R14" s="25">
        <v>120.0</v>
      </c>
      <c r="S14" s="25">
        <v>120.0</v>
      </c>
      <c r="T14" s="25">
        <v>-4.0</v>
      </c>
      <c r="U14" s="25">
        <v>3.0</v>
      </c>
      <c r="V14" s="25">
        <v>2.0</v>
      </c>
    </row>
    <row r="15" ht="22.5" customHeight="1">
      <c r="A15" s="16" t="str">
        <f t="shared" si="1"/>
        <v>TJ-12º Pav.-Sala Elétrica W2-QDEE-12W2</v>
      </c>
      <c r="B15" s="16" t="s">
        <v>52</v>
      </c>
      <c r="C15" s="17"/>
      <c r="D15" s="18"/>
      <c r="E15" s="27" t="s">
        <v>35</v>
      </c>
      <c r="F15" s="20" t="s">
        <v>25</v>
      </c>
      <c r="G15" s="21" t="s">
        <v>36</v>
      </c>
      <c r="H15" s="22" t="s">
        <v>50</v>
      </c>
      <c r="I15" s="23"/>
      <c r="J15" s="24" t="str">
        <f>HYPERLINK( VLOOKUP(H15,'Localização'!A15:K39,9),"&lt;=Link")</f>
        <v>&lt;=Link</v>
      </c>
      <c r="K15" s="25"/>
      <c r="L15" s="25" t="s">
        <v>53</v>
      </c>
      <c r="M15" s="25"/>
      <c r="N15" s="25"/>
      <c r="O15" s="25"/>
      <c r="P15" s="25"/>
      <c r="Q15" s="25"/>
      <c r="R15" s="25">
        <v>120.0</v>
      </c>
      <c r="S15" s="25">
        <v>120.0</v>
      </c>
      <c r="T15" s="25">
        <v>-2.0</v>
      </c>
      <c r="U15" s="25">
        <v>3.0</v>
      </c>
      <c r="V15" s="25">
        <v>2.0</v>
      </c>
    </row>
    <row r="16" ht="22.5" customHeight="1">
      <c r="A16" s="16" t="str">
        <f t="shared" si="1"/>
        <v>TJ-12º Pav.-Sala Elétrica W2-QDI-12W2</v>
      </c>
      <c r="B16" s="16" t="s">
        <v>54</v>
      </c>
      <c r="C16" s="17"/>
      <c r="D16" s="18"/>
      <c r="E16" s="27" t="s">
        <v>35</v>
      </c>
      <c r="F16" s="20" t="s">
        <v>25</v>
      </c>
      <c r="G16" s="21" t="s">
        <v>36</v>
      </c>
      <c r="H16" s="22" t="s">
        <v>50</v>
      </c>
      <c r="I16" s="23"/>
      <c r="J16" s="24" t="str">
        <f>HYPERLINK( VLOOKUP(H16,'Localização'!A16:K39,9),"&lt;=Link")</f>
        <v>&lt;=Link</v>
      </c>
      <c r="K16" s="25"/>
      <c r="L16" s="25" t="s">
        <v>55</v>
      </c>
      <c r="M16" s="25"/>
      <c r="N16" s="25"/>
      <c r="O16" s="25"/>
      <c r="P16" s="25"/>
      <c r="Q16" s="25"/>
      <c r="R16" s="25">
        <v>120.0</v>
      </c>
      <c r="S16" s="25">
        <v>120.0</v>
      </c>
      <c r="T16" s="25">
        <v>-1.0</v>
      </c>
      <c r="U16" s="25">
        <v>5.0</v>
      </c>
      <c r="V16" s="25">
        <v>2.0</v>
      </c>
    </row>
    <row r="17" ht="22.5" customHeight="1">
      <c r="A17" s="16" t="str">
        <f t="shared" si="1"/>
        <v>TJ-12º Pav.-Sala Elétrica W2-QDEC-12W2</v>
      </c>
      <c r="B17" s="16" t="s">
        <v>49</v>
      </c>
      <c r="C17" s="17"/>
      <c r="D17" s="18"/>
      <c r="E17" s="27" t="s">
        <v>35</v>
      </c>
      <c r="F17" s="20" t="s">
        <v>25</v>
      </c>
      <c r="G17" s="21" t="s">
        <v>36</v>
      </c>
      <c r="H17" s="22" t="s">
        <v>50</v>
      </c>
      <c r="I17" s="23"/>
      <c r="J17" s="24" t="str">
        <f>HYPERLINK( VLOOKUP(H17,'Localização'!A17:K39,9),"&lt;=Link")</f>
        <v>&lt;=Link</v>
      </c>
      <c r="K17" s="25"/>
      <c r="L17" s="25"/>
      <c r="M17" s="25"/>
      <c r="N17" s="25"/>
      <c r="O17" s="25"/>
      <c r="P17" s="25"/>
      <c r="Q17" s="25"/>
      <c r="R17" s="25">
        <v>120.0</v>
      </c>
      <c r="S17" s="25">
        <v>120.0</v>
      </c>
      <c r="T17" s="25">
        <v>-8.0</v>
      </c>
      <c r="U17" s="25">
        <v>3.0</v>
      </c>
      <c r="V17" s="25">
        <v>2.0</v>
      </c>
    </row>
    <row r="18" ht="22.5" customHeight="1">
      <c r="A18" s="16" t="str">
        <f t="shared" si="1"/>
        <v>TJ-12º Pav.-Sala Elétrica W3-QDEC-12W3</v>
      </c>
      <c r="B18" s="16" t="s">
        <v>56</v>
      </c>
      <c r="C18" s="17"/>
      <c r="D18" s="18"/>
      <c r="E18" s="27" t="s">
        <v>35</v>
      </c>
      <c r="F18" s="20" t="s">
        <v>25</v>
      </c>
      <c r="G18" s="21" t="s">
        <v>36</v>
      </c>
      <c r="H18" s="22" t="s">
        <v>57</v>
      </c>
      <c r="I18" s="23"/>
      <c r="J18" s="23" t="str">
        <f>HYPERLINK( VLOOKUP(H18,'Localização'!A17:K39,9),"&lt;=Link")</f>
        <v>&lt;=Link</v>
      </c>
      <c r="K18" s="25"/>
      <c r="L18" s="25" t="s">
        <v>58</v>
      </c>
      <c r="M18" s="28"/>
      <c r="N18" s="29"/>
      <c r="O18" s="29"/>
      <c r="P18" s="30"/>
      <c r="Q18" s="25"/>
      <c r="R18" s="25">
        <v>120.0</v>
      </c>
      <c r="S18" s="25">
        <v>120.0</v>
      </c>
      <c r="T18" s="25">
        <v>-8.0</v>
      </c>
      <c r="U18" s="25">
        <v>3.0</v>
      </c>
      <c r="V18" s="25">
        <v>2.0</v>
      </c>
    </row>
    <row r="19" ht="22.5" customHeight="1">
      <c r="A19" s="16" t="str">
        <f t="shared" si="1"/>
        <v>TJ-12º Pav.-Sala Elétrica W3-QDEE-12W3</v>
      </c>
      <c r="B19" s="16" t="s">
        <v>59</v>
      </c>
      <c r="C19" s="17"/>
      <c r="D19" s="18"/>
      <c r="E19" s="27" t="s">
        <v>35</v>
      </c>
      <c r="F19" s="20" t="s">
        <v>25</v>
      </c>
      <c r="G19" s="21" t="s">
        <v>36</v>
      </c>
      <c r="H19" s="22" t="s">
        <v>57</v>
      </c>
      <c r="I19" s="23"/>
      <c r="J19" s="23" t="str">
        <f>HYPERLINK( VLOOKUP(H19,'Localização'!A18:K39,9),"&lt;=Link")</f>
        <v>&lt;=Link</v>
      </c>
      <c r="K19" s="25"/>
      <c r="L19" s="25" t="s">
        <v>60</v>
      </c>
      <c r="M19" s="28"/>
      <c r="N19" s="29"/>
      <c r="O19" s="29"/>
      <c r="P19" s="30"/>
      <c r="Q19" s="25"/>
      <c r="R19" s="25">
        <v>120.0</v>
      </c>
      <c r="S19" s="25">
        <v>120.0</v>
      </c>
      <c r="T19" s="25">
        <v>-8.0</v>
      </c>
      <c r="U19" s="25">
        <v>3.0</v>
      </c>
      <c r="V19" s="25">
        <v>2.0</v>
      </c>
    </row>
    <row r="20" ht="22.5" customHeight="1">
      <c r="A20" s="16" t="str">
        <f t="shared" si="1"/>
        <v>TJ-12º Pav.-Sala Elétrica W3-QDI-12W3</v>
      </c>
      <c r="B20" s="16" t="s">
        <v>61</v>
      </c>
      <c r="C20" s="17"/>
      <c r="D20" s="18"/>
      <c r="E20" s="27" t="s">
        <v>35</v>
      </c>
      <c r="F20" s="20" t="s">
        <v>25</v>
      </c>
      <c r="G20" s="21" t="s">
        <v>36</v>
      </c>
      <c r="H20" s="22" t="s">
        <v>57</v>
      </c>
      <c r="I20" s="23"/>
      <c r="J20" s="23" t="str">
        <f>HYPERLINK( VLOOKUP(H20,'Localização'!A19:K39,9),"&lt;=Link")</f>
        <v>&lt;=Link</v>
      </c>
      <c r="K20" s="25"/>
      <c r="L20" s="25" t="s">
        <v>62</v>
      </c>
      <c r="M20" s="28"/>
      <c r="N20" s="29"/>
      <c r="O20" s="29"/>
      <c r="P20" s="30"/>
      <c r="Q20" s="25"/>
      <c r="R20" s="25">
        <v>120.0</v>
      </c>
      <c r="S20" s="25">
        <v>120.0</v>
      </c>
      <c r="T20" s="25">
        <v>-8.0</v>
      </c>
      <c r="U20" s="25">
        <v>3.0</v>
      </c>
      <c r="V20" s="25">
        <v>2.0</v>
      </c>
    </row>
    <row r="21" ht="22.5" customHeight="1">
      <c r="A21" s="16" t="str">
        <f t="shared" si="1"/>
        <v>TJ-13º Pav.-Sala Elétrica E3-QDEE-13E3</v>
      </c>
      <c r="B21" s="16" t="s">
        <v>63</v>
      </c>
      <c r="C21" s="17"/>
      <c r="D21" s="18"/>
      <c r="E21" s="27" t="s">
        <v>45</v>
      </c>
      <c r="F21" s="20" t="s">
        <v>25</v>
      </c>
      <c r="G21" s="21" t="s">
        <v>36</v>
      </c>
      <c r="H21" s="22" t="s">
        <v>64</v>
      </c>
      <c r="I21" s="23"/>
      <c r="J21" s="23" t="str">
        <f>HYPERLINK( VLOOKUP(H21,'Localização'!A20:K39,9),"&lt;=Link")</f>
        <v>&lt;=Link</v>
      </c>
      <c r="K21" s="25"/>
      <c r="L21" s="25" t="s">
        <v>65</v>
      </c>
      <c r="M21" s="28"/>
      <c r="N21" s="29"/>
      <c r="O21" s="29"/>
      <c r="P21" s="30"/>
      <c r="Q21" s="25"/>
      <c r="R21" s="25">
        <v>120.0</v>
      </c>
      <c r="S21" s="25">
        <v>120.0</v>
      </c>
      <c r="T21" s="25">
        <v>-8.0</v>
      </c>
      <c r="U21" s="25">
        <v>3.0</v>
      </c>
      <c r="V21" s="25">
        <v>2.0</v>
      </c>
    </row>
    <row r="22" ht="22.5" customHeight="1">
      <c r="A22" s="16" t="str">
        <f t="shared" si="1"/>
        <v>TJ-13º Pav.-Sala Elétrica E3-QDI-13E3</v>
      </c>
      <c r="B22" s="16" t="s">
        <v>66</v>
      </c>
      <c r="C22" s="17"/>
      <c r="D22" s="18"/>
      <c r="E22" s="27" t="s">
        <v>45</v>
      </c>
      <c r="F22" s="20" t="s">
        <v>25</v>
      </c>
      <c r="G22" s="21" t="s">
        <v>36</v>
      </c>
      <c r="H22" s="22" t="s">
        <v>64</v>
      </c>
      <c r="I22" s="23"/>
      <c r="J22" s="23" t="str">
        <f>HYPERLINK( VLOOKUP(H22,'Localização'!A21:K39,9),"&lt;=Link")</f>
        <v>&lt;=Link</v>
      </c>
      <c r="K22" s="25"/>
      <c r="L22" s="25" t="s">
        <v>67</v>
      </c>
      <c r="M22" s="28"/>
      <c r="N22" s="29"/>
      <c r="O22" s="29"/>
      <c r="P22" s="30"/>
      <c r="Q22" s="25"/>
      <c r="R22" s="25">
        <v>120.0</v>
      </c>
      <c r="S22" s="25">
        <v>120.0</v>
      </c>
      <c r="T22" s="25">
        <v>-8.0</v>
      </c>
      <c r="U22" s="25">
        <v>5.0</v>
      </c>
      <c r="V22" s="25">
        <v>2.0</v>
      </c>
    </row>
    <row r="23" ht="22.5" customHeight="1">
      <c r="A23" s="16" t="str">
        <f t="shared" si="1"/>
        <v>TJ-13º Pav.-Sala Elétrica W3-QDEC-13W3</v>
      </c>
      <c r="B23" s="16" t="s">
        <v>68</v>
      </c>
      <c r="C23" s="17"/>
      <c r="D23" s="18"/>
      <c r="E23" s="27" t="s">
        <v>45</v>
      </c>
      <c r="F23" s="20" t="s">
        <v>25</v>
      </c>
      <c r="G23" s="21" t="s">
        <v>36</v>
      </c>
      <c r="H23" s="22" t="s">
        <v>69</v>
      </c>
      <c r="I23" s="23"/>
      <c r="J23" s="23" t="str">
        <f>HYPERLINK( VLOOKUP(H23,'Localização'!A22:K39,9),"&lt;=Link")</f>
        <v>&lt;=Link</v>
      </c>
      <c r="K23" s="25"/>
      <c r="L23" s="25" t="s">
        <v>70</v>
      </c>
      <c r="M23" s="28"/>
      <c r="N23" s="29"/>
      <c r="O23" s="29"/>
      <c r="P23" s="30"/>
      <c r="Q23" s="25"/>
      <c r="R23" s="25">
        <v>120.0</v>
      </c>
      <c r="S23" s="25">
        <v>120.0</v>
      </c>
      <c r="T23" s="25">
        <v>-8.0</v>
      </c>
      <c r="U23" s="25">
        <v>3.0</v>
      </c>
      <c r="V23" s="25">
        <v>2.0</v>
      </c>
    </row>
    <row r="24" ht="22.5" customHeight="1">
      <c r="A24" s="16" t="str">
        <f t="shared" si="1"/>
        <v>TJ-13º Pav.-Sala Elétrica W3-QDEE-13W3</v>
      </c>
      <c r="B24" s="16" t="s">
        <v>71</v>
      </c>
      <c r="C24" s="17"/>
      <c r="D24" s="18"/>
      <c r="E24" s="27" t="s">
        <v>45</v>
      </c>
      <c r="F24" s="20" t="s">
        <v>25</v>
      </c>
      <c r="G24" s="21" t="s">
        <v>36</v>
      </c>
      <c r="H24" s="22" t="s">
        <v>69</v>
      </c>
      <c r="I24" s="23"/>
      <c r="J24" s="23" t="str">
        <f>HYPERLINK( VLOOKUP(H24,'Localização'!A23:K39,9),"&lt;=Link")</f>
        <v>&lt;=Link</v>
      </c>
      <c r="K24" s="25"/>
      <c r="L24" s="25" t="s">
        <v>72</v>
      </c>
      <c r="M24" s="28"/>
      <c r="N24" s="29"/>
      <c r="O24" s="29"/>
      <c r="P24" s="30"/>
      <c r="Q24" s="25"/>
      <c r="R24" s="25">
        <v>120.0</v>
      </c>
      <c r="S24" s="25">
        <v>120.0</v>
      </c>
      <c r="T24" s="25">
        <v>-8.0</v>
      </c>
      <c r="U24" s="25">
        <v>3.0</v>
      </c>
      <c r="V24" s="25">
        <v>2.0</v>
      </c>
    </row>
    <row r="25" ht="22.5" customHeight="1">
      <c r="A25" s="16" t="str">
        <f t="shared" si="1"/>
        <v>TJ-13º Pav.-Sala Elétrica W3-QDI-13W3</v>
      </c>
      <c r="B25" s="16" t="s">
        <v>73</v>
      </c>
      <c r="C25" s="17"/>
      <c r="D25" s="18"/>
      <c r="E25" s="27" t="s">
        <v>45</v>
      </c>
      <c r="F25" s="20" t="s">
        <v>25</v>
      </c>
      <c r="G25" s="21" t="s">
        <v>36</v>
      </c>
      <c r="H25" s="22" t="s">
        <v>69</v>
      </c>
      <c r="I25" s="23"/>
      <c r="J25" s="23" t="str">
        <f>HYPERLINK( VLOOKUP(H25,'Localização'!A24:K39,9),"&lt;=Link")</f>
        <v>&lt;=Link</v>
      </c>
      <c r="K25" s="25"/>
      <c r="L25" s="25" t="s">
        <v>74</v>
      </c>
      <c r="M25" s="28"/>
      <c r="N25" s="29"/>
      <c r="O25" s="29"/>
      <c r="P25" s="30"/>
      <c r="Q25" s="25"/>
      <c r="R25" s="25">
        <v>120.0</v>
      </c>
      <c r="S25" s="25">
        <v>120.0</v>
      </c>
      <c r="T25" s="25">
        <v>-8.0</v>
      </c>
      <c r="U25" s="25">
        <v>3.0</v>
      </c>
      <c r="V25" s="25">
        <v>2.0</v>
      </c>
    </row>
    <row r="26" ht="22.5" customHeight="1">
      <c r="A26" s="16" t="str">
        <f t="shared" si="1"/>
        <v>TJ.ANX-Térreo--Quadro CD-C1SS1.pdf</v>
      </c>
      <c r="B26" s="16" t="s">
        <v>75</v>
      </c>
      <c r="C26" s="17"/>
      <c r="D26" s="18"/>
      <c r="E26" s="27" t="s">
        <v>76</v>
      </c>
      <c r="F26" s="20" t="s">
        <v>25</v>
      </c>
      <c r="G26" s="21" t="s">
        <v>36</v>
      </c>
      <c r="H26" s="22" t="s">
        <v>77</v>
      </c>
      <c r="I26" s="23"/>
      <c r="J26" s="23" t="str">
        <f>HYPERLINK( VLOOKUP(H26,'Localização'!A25:K39,9),"&lt;=Link")</f>
        <v>&lt;=Link</v>
      </c>
      <c r="K26" s="25"/>
      <c r="L26" s="25"/>
      <c r="M26" s="28"/>
      <c r="N26" s="29"/>
      <c r="O26" s="29"/>
      <c r="P26" s="30"/>
      <c r="Q26" s="25"/>
      <c r="R26" s="25">
        <v>120.0</v>
      </c>
      <c r="S26" s="25">
        <v>120.0</v>
      </c>
      <c r="T26" s="25">
        <v>-8.0</v>
      </c>
      <c r="U26" s="25">
        <v>3.0</v>
      </c>
      <c r="V26" s="25">
        <v>2.0</v>
      </c>
    </row>
    <row r="27" ht="22.5" customHeight="1">
      <c r="A27" s="16" t="str">
        <f t="shared" si="1"/>
        <v>TJ.ANX-Térreo--Quadro CD-C1SS2.pdf</v>
      </c>
      <c r="B27" s="16" t="s">
        <v>78</v>
      </c>
      <c r="C27" s="17"/>
      <c r="D27" s="18"/>
      <c r="E27" s="27" t="s">
        <v>76</v>
      </c>
      <c r="F27" s="20" t="s">
        <v>25</v>
      </c>
      <c r="G27" s="21" t="s">
        <v>36</v>
      </c>
      <c r="H27" s="22" t="s">
        <v>77</v>
      </c>
      <c r="I27" s="23"/>
      <c r="J27" s="23" t="str">
        <f>HYPERLINK( VLOOKUP(H27,'Localização'!A26:K39,9),"&lt;=Link")</f>
        <v>&lt;=Link</v>
      </c>
      <c r="K27" s="25"/>
      <c r="L27" s="25"/>
      <c r="M27" s="28"/>
      <c r="N27" s="29"/>
      <c r="O27" s="29"/>
      <c r="P27" s="30"/>
      <c r="Q27" s="25"/>
      <c r="R27" s="25">
        <v>120.0</v>
      </c>
      <c r="S27" s="25">
        <v>120.0</v>
      </c>
      <c r="T27" s="25">
        <v>-8.0</v>
      </c>
      <c r="U27" s="25">
        <v>3.0</v>
      </c>
      <c r="V27" s="25">
        <v>2.0</v>
      </c>
    </row>
    <row r="28" ht="22.5" customHeight="1">
      <c r="A28" s="16" t="str">
        <f t="shared" si="1"/>
        <v>TJ.ANX-Térreo--Quadro CD-C2P1.pdf</v>
      </c>
      <c r="B28" s="16" t="s">
        <v>79</v>
      </c>
      <c r="C28" s="17"/>
      <c r="D28" s="18"/>
      <c r="E28" s="27" t="s">
        <v>76</v>
      </c>
      <c r="F28" s="20" t="s">
        <v>25</v>
      </c>
      <c r="G28" s="21" t="s">
        <v>36</v>
      </c>
      <c r="H28" s="22" t="s">
        <v>77</v>
      </c>
      <c r="I28" s="23"/>
      <c r="J28" s="23" t="str">
        <f>HYPERLINK( VLOOKUP(H28,'Localização'!A27:K39,9),"&lt;=Link")</f>
        <v>&lt;=Link</v>
      </c>
      <c r="K28" s="25"/>
      <c r="L28" s="25"/>
      <c r="M28" s="28"/>
      <c r="N28" s="29"/>
      <c r="O28" s="29"/>
      <c r="P28" s="30"/>
      <c r="Q28" s="25"/>
      <c r="R28" s="25">
        <v>120.0</v>
      </c>
      <c r="S28" s="25">
        <v>120.0</v>
      </c>
      <c r="T28" s="25">
        <v>-8.0</v>
      </c>
      <c r="U28" s="25">
        <v>5.0</v>
      </c>
      <c r="V28" s="25">
        <v>2.0</v>
      </c>
    </row>
    <row r="29" ht="22.5" customHeight="1">
      <c r="A29" s="16" t="str">
        <f t="shared" si="1"/>
        <v>TJ.ANX-Térreo--Quadro CD-C2P2.pdf</v>
      </c>
      <c r="B29" s="16" t="s">
        <v>80</v>
      </c>
      <c r="C29" s="17"/>
      <c r="D29" s="18"/>
      <c r="E29" s="27" t="s">
        <v>76</v>
      </c>
      <c r="F29" s="20" t="s">
        <v>25</v>
      </c>
      <c r="G29" s="21" t="s">
        <v>36</v>
      </c>
      <c r="H29" s="22" t="s">
        <v>77</v>
      </c>
      <c r="I29" s="23"/>
      <c r="J29" s="23" t="str">
        <f>HYPERLINK( VLOOKUP(H29,'Localização'!A28:K39,9),"&lt;=Link")</f>
        <v>&lt;=Link</v>
      </c>
      <c r="K29" s="25"/>
      <c r="L29" s="25"/>
      <c r="M29" s="28"/>
      <c r="N29" s="29"/>
      <c r="O29" s="29"/>
      <c r="P29" s="30"/>
      <c r="Q29" s="25"/>
      <c r="R29" s="25">
        <v>120.0</v>
      </c>
      <c r="S29" s="25">
        <v>120.0</v>
      </c>
      <c r="T29" s="25">
        <v>-8.0</v>
      </c>
      <c r="U29" s="25">
        <v>3.0</v>
      </c>
      <c r="V29" s="25">
        <v>2.0</v>
      </c>
    </row>
    <row r="30" ht="22.5" customHeight="1">
      <c r="A30" s="16" t="str">
        <f t="shared" si="1"/>
        <v>TJ.ANX-Térreo--Quadro CD-C2SS1.pdf</v>
      </c>
      <c r="B30" s="16" t="s">
        <v>81</v>
      </c>
      <c r="C30" s="17"/>
      <c r="D30" s="18"/>
      <c r="E30" s="27" t="s">
        <v>76</v>
      </c>
      <c r="F30" s="20" t="s">
        <v>25</v>
      </c>
      <c r="G30" s="21" t="s">
        <v>36</v>
      </c>
      <c r="H30" s="22" t="s">
        <v>77</v>
      </c>
      <c r="I30" s="23"/>
      <c r="J30" s="23" t="str">
        <f>HYPERLINK( VLOOKUP(H30,'Localização'!A29:K39,9),"&lt;=Link")</f>
        <v>&lt;=Link</v>
      </c>
      <c r="K30" s="25"/>
      <c r="L30" s="25"/>
      <c r="M30" s="28"/>
      <c r="N30" s="29"/>
      <c r="O30" s="29"/>
      <c r="P30" s="30"/>
      <c r="Q30" s="25"/>
      <c r="R30" s="25">
        <v>120.0</v>
      </c>
      <c r="S30" s="25">
        <v>120.0</v>
      </c>
      <c r="T30" s="25">
        <v>-8.0</v>
      </c>
      <c r="U30" s="25">
        <v>3.0</v>
      </c>
      <c r="V30" s="25">
        <v>2.0</v>
      </c>
    </row>
    <row r="31" ht="22.5" customHeight="1">
      <c r="A31" s="16" t="str">
        <f t="shared" si="1"/>
        <v>TJ.ANX-Térreo--Quadro CD-C2SS2.pdf</v>
      </c>
      <c r="B31" s="16" t="s">
        <v>82</v>
      </c>
      <c r="C31" s="17"/>
      <c r="D31" s="18"/>
      <c r="E31" s="27" t="s">
        <v>76</v>
      </c>
      <c r="F31" s="20" t="s">
        <v>25</v>
      </c>
      <c r="G31" s="21" t="s">
        <v>36</v>
      </c>
      <c r="H31" s="22" t="s">
        <v>77</v>
      </c>
      <c r="I31" s="23"/>
      <c r="J31" s="23" t="str">
        <f>HYPERLINK( VLOOKUP(H31,'Localização'!A30:K39,9),"&lt;=Link")</f>
        <v>&lt;=Link</v>
      </c>
      <c r="K31" s="25"/>
      <c r="L31" s="25"/>
      <c r="M31" s="28"/>
      <c r="N31" s="29"/>
      <c r="O31" s="29"/>
      <c r="P31" s="30"/>
      <c r="Q31" s="25"/>
      <c r="R31" s="25">
        <v>120.0</v>
      </c>
      <c r="S31" s="25">
        <v>120.0</v>
      </c>
      <c r="T31" s="25">
        <v>-8.0</v>
      </c>
      <c r="U31" s="25">
        <v>5.0</v>
      </c>
      <c r="V31" s="25">
        <v>2.0</v>
      </c>
    </row>
    <row r="32" ht="22.5" customHeight="1">
      <c r="A32" s="16" t="str">
        <f t="shared" si="1"/>
        <v>TJ.ANX-Térreo--Quadro CD-C3SS1.pdf</v>
      </c>
      <c r="B32" s="16" t="s">
        <v>83</v>
      </c>
      <c r="C32" s="17"/>
      <c r="D32" s="18"/>
      <c r="E32" s="27" t="s">
        <v>76</v>
      </c>
      <c r="F32" s="20" t="s">
        <v>25</v>
      </c>
      <c r="G32" s="21" t="s">
        <v>36</v>
      </c>
      <c r="H32" s="22" t="s">
        <v>77</v>
      </c>
      <c r="I32" s="23"/>
      <c r="J32" s="23" t="str">
        <f>HYPERLINK( VLOOKUP(H32,'Localização'!A31:K39,9),"&lt;=Link")</f>
        <v>&lt;=Link</v>
      </c>
      <c r="K32" s="25"/>
      <c r="L32" s="25"/>
      <c r="M32" s="28"/>
      <c r="N32" s="29"/>
      <c r="O32" s="29"/>
      <c r="P32" s="30"/>
      <c r="Q32" s="25"/>
      <c r="R32" s="25">
        <v>120.0</v>
      </c>
      <c r="S32" s="25">
        <v>120.0</v>
      </c>
      <c r="T32" s="25">
        <v>-8.0</v>
      </c>
      <c r="U32" s="25">
        <v>3.0</v>
      </c>
      <c r="V32" s="25">
        <v>2.0</v>
      </c>
    </row>
    <row r="33" ht="22.5" customHeight="1">
      <c r="A33" s="16" t="str">
        <f t="shared" si="1"/>
        <v>TJ.ANX-Térreo--Quadro CD-C3SS2.pdf</v>
      </c>
      <c r="B33" s="16" t="s">
        <v>84</v>
      </c>
      <c r="C33" s="17"/>
      <c r="D33" s="18"/>
      <c r="E33" s="27" t="s">
        <v>76</v>
      </c>
      <c r="F33" s="20" t="s">
        <v>25</v>
      </c>
      <c r="G33" s="21" t="s">
        <v>36</v>
      </c>
      <c r="H33" s="22" t="s">
        <v>77</v>
      </c>
      <c r="I33" s="23"/>
      <c r="J33" s="23" t="str">
        <f>HYPERLINK( VLOOKUP(H33,'Localização'!A32:K39,9),"&lt;=Link")</f>
        <v>&lt;=Link</v>
      </c>
      <c r="K33" s="25"/>
      <c r="L33" s="25"/>
      <c r="M33" s="28"/>
      <c r="N33" s="29"/>
      <c r="O33" s="29"/>
      <c r="P33" s="30"/>
      <c r="Q33" s="25"/>
      <c r="R33" s="25">
        <v>120.0</v>
      </c>
      <c r="S33" s="25">
        <v>120.0</v>
      </c>
      <c r="T33" s="25">
        <v>-8.0</v>
      </c>
      <c r="U33" s="25">
        <v>3.0</v>
      </c>
      <c r="V33" s="25">
        <v>2.0</v>
      </c>
    </row>
    <row r="34" ht="22.5" customHeight="1">
      <c r="A34" s="16" t="str">
        <f t="shared" si="1"/>
        <v>TJ.ANX-Térreo--Quadro CD-CTE1.pdf</v>
      </c>
      <c r="B34" s="16" t="s">
        <v>85</v>
      </c>
      <c r="C34" s="17"/>
      <c r="D34" s="18"/>
      <c r="E34" s="27" t="s">
        <v>76</v>
      </c>
      <c r="F34" s="20" t="s">
        <v>25</v>
      </c>
      <c r="G34" s="21" t="s">
        <v>36</v>
      </c>
      <c r="H34" s="22" t="s">
        <v>77</v>
      </c>
      <c r="I34" s="23"/>
      <c r="J34" s="23" t="str">
        <f>HYPERLINK( VLOOKUP(H34,'Localização'!A33:K39,9),"&lt;=Link")</f>
        <v>&lt;=Link</v>
      </c>
      <c r="K34" s="25"/>
      <c r="L34" s="25"/>
      <c r="M34" s="28"/>
      <c r="N34" s="29"/>
      <c r="O34" s="29"/>
      <c r="P34" s="30"/>
      <c r="Q34" s="25"/>
      <c r="R34" s="25">
        <v>120.0</v>
      </c>
      <c r="S34" s="25">
        <v>120.0</v>
      </c>
      <c r="T34" s="25">
        <v>-8.0</v>
      </c>
      <c r="U34" s="25">
        <v>5.0</v>
      </c>
      <c r="V34" s="25">
        <v>2.0</v>
      </c>
    </row>
    <row r="35" ht="22.5" customHeight="1">
      <c r="A35" s="16" t="str">
        <f t="shared" si="1"/>
        <v>TJ.ANX-Térreo--Quadro CD-CTE2.pdf</v>
      </c>
      <c r="B35" s="16" t="s">
        <v>86</v>
      </c>
      <c r="C35" s="17"/>
      <c r="D35" s="18"/>
      <c r="E35" s="27" t="s">
        <v>76</v>
      </c>
      <c r="F35" s="20" t="s">
        <v>25</v>
      </c>
      <c r="G35" s="21" t="s">
        <v>36</v>
      </c>
      <c r="H35" s="22" t="s">
        <v>77</v>
      </c>
      <c r="I35" s="23"/>
      <c r="J35" s="23" t="str">
        <f>HYPERLINK( VLOOKUP(H35,'Localização'!A34:K39,9),"&lt;=Link")</f>
        <v>&lt;=Link</v>
      </c>
      <c r="K35" s="25"/>
      <c r="L35" s="25"/>
      <c r="M35" s="28"/>
      <c r="N35" s="29"/>
      <c r="O35" s="29"/>
      <c r="P35" s="30"/>
      <c r="Q35" s="25"/>
      <c r="R35" s="25">
        <v>120.0</v>
      </c>
      <c r="S35" s="25">
        <v>120.0</v>
      </c>
      <c r="T35" s="25">
        <v>-8.0</v>
      </c>
      <c r="U35" s="25">
        <v>3.0</v>
      </c>
      <c r="V35" s="25">
        <v>2.0</v>
      </c>
    </row>
    <row r="36" ht="22.5" customHeight="1">
      <c r="A36" s="16" t="str">
        <f t="shared" si="1"/>
        <v>TJ.ANX-Térreo--Quadro CD-ETE1.pdf</v>
      </c>
      <c r="B36" s="16" t="s">
        <v>87</v>
      </c>
      <c r="C36" s="17"/>
      <c r="D36" s="18"/>
      <c r="E36" s="27" t="s">
        <v>76</v>
      </c>
      <c r="F36" s="20" t="s">
        <v>25</v>
      </c>
      <c r="G36" s="21" t="s">
        <v>36</v>
      </c>
      <c r="H36" s="22" t="s">
        <v>77</v>
      </c>
      <c r="I36" s="23"/>
      <c r="J36" s="23" t="str">
        <f>HYPERLINK( VLOOKUP(H36,'Localização'!A35:K39,9),"&lt;=Link")</f>
        <v>&lt;=Link</v>
      </c>
      <c r="K36" s="25"/>
      <c r="L36" s="25"/>
      <c r="M36" s="28"/>
      <c r="N36" s="29"/>
      <c r="O36" s="29"/>
      <c r="P36" s="30"/>
      <c r="Q36" s="25"/>
      <c r="R36" s="25">
        <v>120.0</v>
      </c>
      <c r="S36" s="25">
        <v>120.0</v>
      </c>
      <c r="T36" s="25">
        <v>-8.0</v>
      </c>
      <c r="U36" s="25">
        <v>2.0</v>
      </c>
      <c r="V36" s="25">
        <v>2.0</v>
      </c>
    </row>
    <row r="37" ht="22.5" customHeight="1">
      <c r="A37" s="16" t="str">
        <f t="shared" si="1"/>
        <v>TJ.ANX-Térreo--Quadro CD-ETE2.pdf</v>
      </c>
      <c r="B37" s="16" t="s">
        <v>88</v>
      </c>
      <c r="C37" s="17"/>
      <c r="D37" s="18"/>
      <c r="E37" s="27" t="s">
        <v>76</v>
      </c>
      <c r="F37" s="20" t="s">
        <v>25</v>
      </c>
      <c r="G37" s="21" t="s">
        <v>36</v>
      </c>
      <c r="H37" s="22" t="s">
        <v>77</v>
      </c>
      <c r="I37" s="23"/>
      <c r="J37" s="23" t="str">
        <f>HYPERLINK( VLOOKUP(H37,'Localização'!A36:K39,9),"&lt;=Link")</f>
        <v>&lt;=Link</v>
      </c>
      <c r="K37" s="25"/>
      <c r="L37" s="25"/>
      <c r="M37" s="28"/>
      <c r="N37" s="29"/>
      <c r="O37" s="29"/>
      <c r="P37" s="30"/>
      <c r="Q37" s="25"/>
      <c r="R37" s="25">
        <v>120.0</v>
      </c>
      <c r="S37" s="25">
        <v>120.0</v>
      </c>
      <c r="T37" s="25">
        <v>-8.0</v>
      </c>
      <c r="U37" s="25">
        <v>2.0</v>
      </c>
      <c r="V37" s="25">
        <v>2.0</v>
      </c>
    </row>
    <row r="38" ht="22.5" customHeight="1">
      <c r="A38" s="16" t="str">
        <f t="shared" si="1"/>
        <v>TJ.ANX-Térreo--Quadro QG-ESTAC-NORTE.pdf</v>
      </c>
      <c r="B38" s="16" t="s">
        <v>89</v>
      </c>
      <c r="C38" s="17"/>
      <c r="D38" s="18"/>
      <c r="E38" s="27" t="s">
        <v>76</v>
      </c>
      <c r="F38" s="20" t="s">
        <v>25</v>
      </c>
      <c r="G38" s="21" t="s">
        <v>36</v>
      </c>
      <c r="H38" s="22" t="s">
        <v>77</v>
      </c>
      <c r="I38" s="23"/>
      <c r="J38" s="23" t="str">
        <f>HYPERLINK( VLOOKUP(H38,'Localização'!A37:K39,9),"&lt;=Link")</f>
        <v>&lt;=Link</v>
      </c>
      <c r="K38" s="25"/>
      <c r="L38" s="25"/>
      <c r="M38" s="28"/>
      <c r="N38" s="29"/>
      <c r="O38" s="29"/>
      <c r="P38" s="30"/>
      <c r="Q38" s="25"/>
      <c r="R38" s="25">
        <v>120.0</v>
      </c>
      <c r="S38" s="25">
        <v>120.0</v>
      </c>
      <c r="T38" s="25">
        <v>-5.0</v>
      </c>
      <c r="U38" s="25">
        <v>2.0</v>
      </c>
      <c r="V38" s="25">
        <v>2.0</v>
      </c>
    </row>
    <row r="39" ht="22.5" customHeight="1">
      <c r="A39" s="16" t="str">
        <f t="shared" si="1"/>
        <v>TJ.ANX-Térreo--Quadro QG-ESTAC-SUL.pdf</v>
      </c>
      <c r="B39" s="16" t="s">
        <v>90</v>
      </c>
      <c r="C39" s="17"/>
      <c r="D39" s="18"/>
      <c r="E39" s="27" t="s">
        <v>76</v>
      </c>
      <c r="F39" s="20" t="s">
        <v>25</v>
      </c>
      <c r="G39" s="21" t="s">
        <v>36</v>
      </c>
      <c r="H39" s="22" t="s">
        <v>77</v>
      </c>
      <c r="I39" s="23"/>
      <c r="J39" s="23" t="str">
        <f>HYPERLINK( VLOOKUP(H39,'Localização'!A38:K39,9),"&lt;=Link")</f>
        <v>&lt;=Link</v>
      </c>
      <c r="K39" s="25"/>
      <c r="L39" s="25"/>
      <c r="M39" s="28"/>
      <c r="N39" s="29"/>
      <c r="O39" s="29"/>
      <c r="P39" s="30"/>
      <c r="Q39" s="25"/>
      <c r="R39" s="25">
        <v>120.0</v>
      </c>
      <c r="S39" s="25">
        <v>120.0</v>
      </c>
      <c r="T39" s="25">
        <v>-8.0</v>
      </c>
      <c r="U39" s="25">
        <v>2.0</v>
      </c>
      <c r="V39" s="25">
        <v>2.0</v>
      </c>
    </row>
  </sheetData>
  <dataValidations>
    <dataValidation type="list" allowBlank="1" sqref="F3:F39">
      <formula1>#REF!</formula1>
    </dataValidation>
    <dataValidation type="list" allowBlank="1" sqref="E3:E39">
      <formula1>"Térro,2º Pav.,3º Pav.,4º Pav.,5º Pav.,6º Pav.,7º Pav.,8º Pav.,12º Pav.,13º Pav.,14º Pav.,Cob.,-1SubS"</formula1>
    </dataValidation>
    <dataValidation type="list" allowBlank="1" sqref="D3:D39">
      <formula1>#REF!</formula1>
    </dataValidation>
    <dataValidation type="list" allowBlank="1" sqref="G3:G39">
      <formula1>#REF!</formula1>
    </dataValidation>
    <dataValidation allowBlank="1" showDropDown="1" sqref="C3:C39"/>
    <dataValidation type="list" allowBlank="1" sqref="H3:H39">
      <formula1>#REF!</formula1>
    </dataValidation>
  </dataValidations>
  <hyperlinks>
    <hyperlink r:id="rId2" ref="L7"/>
  </hyperlinks>
  <printOptions/>
  <pageMargins bottom="0.2362204724409449" footer="0.0" header="0.0" left="0.7480314960629921" right="0.7480314960629921" top="0.2362204724409449"/>
  <pageSetup fitToHeight="0" paperSize="9" orientation="portrait"/>
  <drawing r:id="rId3"/>
  <legacy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57"/>
    <col customWidth="1" min="3" max="4" width="10.43"/>
    <col customWidth="1" min="5" max="5" width="1.57"/>
    <col customWidth="1" min="6" max="6" width="12.86"/>
    <col customWidth="1" min="7" max="7" width="10.43"/>
    <col customWidth="1" hidden="1" min="8" max="8" width="12.14"/>
    <col customWidth="1" hidden="1" min="9" max="9" width="12.29"/>
    <col customWidth="1" min="10" max="10" width="2.57"/>
    <col customWidth="1" min="11" max="11" width="12.86"/>
    <col customWidth="1" min="12" max="12" width="10.43"/>
    <col customWidth="1" hidden="1" min="13" max="13" width="12.14"/>
    <col customWidth="1" hidden="1" min="14" max="14" width="12.29"/>
    <col customWidth="1" min="15" max="26" width="8.71"/>
  </cols>
  <sheetData>
    <row r="1">
      <c r="B1" s="31" t="s">
        <v>4</v>
      </c>
      <c r="C1" s="32" t="s">
        <v>91</v>
      </c>
      <c r="D1" s="33"/>
      <c r="F1" s="34" t="s">
        <v>92</v>
      </c>
      <c r="G1" s="35"/>
      <c r="H1" s="35"/>
      <c r="I1" s="36"/>
      <c r="K1" s="34" t="s">
        <v>93</v>
      </c>
      <c r="L1" s="35"/>
      <c r="M1" s="35"/>
      <c r="N1" s="36"/>
    </row>
    <row r="2">
      <c r="B2" s="37" t="s">
        <v>94</v>
      </c>
      <c r="C2" s="38">
        <f>COUNTIF(Lev.Quadros!$E$3:$E$23,B2)</f>
        <v>0</v>
      </c>
      <c r="D2" s="39"/>
      <c r="F2" s="40" t="s">
        <v>4</v>
      </c>
      <c r="G2" s="41" t="s">
        <v>91</v>
      </c>
      <c r="H2" s="42" t="s">
        <v>95</v>
      </c>
      <c r="I2" s="43" t="s">
        <v>96</v>
      </c>
      <c r="K2" s="40" t="s">
        <v>4</v>
      </c>
      <c r="L2" s="44" t="s">
        <v>91</v>
      </c>
      <c r="M2" s="40" t="s">
        <v>95</v>
      </c>
      <c r="N2" s="45" t="s">
        <v>96</v>
      </c>
    </row>
    <row r="3">
      <c r="B3" s="46" t="s">
        <v>97</v>
      </c>
      <c r="C3" s="47">
        <f>COUNTIF(Lev.Quadros!$E$3:$E$23,B3)</f>
        <v>0</v>
      </c>
      <c r="D3" s="39"/>
      <c r="F3" s="48" t="s">
        <v>97</v>
      </c>
      <c r="G3" s="49" t="str">
        <f>COUNTIFS(Lev.Quadros!$E$3:$E$23,F3,#REF!,"fancoil")</f>
        <v>#VALUE!</v>
      </c>
      <c r="H3" s="50"/>
      <c r="I3" s="51" t="str">
        <f t="shared" ref="I3:I10" si="1">H3/G3</f>
        <v>#VALUE!</v>
      </c>
      <c r="K3" s="37" t="s">
        <v>94</v>
      </c>
      <c r="L3" s="52" t="str">
        <f>COUNTIFS(Lev.Quadros!$E$3:$E$23,K3,#REF!,"exaustores")</f>
        <v>#VALUE!</v>
      </c>
      <c r="M3" s="53"/>
      <c r="N3" s="54"/>
    </row>
    <row r="4">
      <c r="B4" s="46" t="s">
        <v>98</v>
      </c>
      <c r="C4" s="47">
        <f>COUNTIF(Lev.Quadros!$E$3:$E$23,B4)</f>
        <v>0</v>
      </c>
      <c r="D4" s="39"/>
      <c r="F4" s="46" t="s">
        <v>98</v>
      </c>
      <c r="G4" s="49" t="str">
        <f>COUNTIFS(Lev.Quadros!$E$3:$E$23,F4,#REF!,"fancoil")</f>
        <v>#VALUE!</v>
      </c>
      <c r="H4" s="55"/>
      <c r="I4" s="56" t="str">
        <f t="shared" si="1"/>
        <v>#VALUE!</v>
      </c>
      <c r="K4" s="48" t="s">
        <v>97</v>
      </c>
      <c r="L4" s="52" t="str">
        <f>COUNTIFS(Lev.Quadros!$E$3:$E$23,K4,#REF!,"exaustores")</f>
        <v>#VALUE!</v>
      </c>
      <c r="M4" s="57"/>
      <c r="N4" s="58" t="str">
        <f t="shared" ref="N4:N11" si="2">M4/L4</f>
        <v>#VALUE!</v>
      </c>
    </row>
    <row r="5">
      <c r="B5" s="46" t="s">
        <v>99</v>
      </c>
      <c r="C5" s="47">
        <f>COUNTIF(Lev.Quadros!$E$3:$E$23,B5)</f>
        <v>0</v>
      </c>
      <c r="D5" s="39"/>
      <c r="F5" s="46" t="s">
        <v>99</v>
      </c>
      <c r="G5" s="49" t="str">
        <f>COUNTIFS(Lev.Quadros!$E$3:$E$23,F5,#REF!,"fancoil")</f>
        <v>#VALUE!</v>
      </c>
      <c r="H5" s="55"/>
      <c r="I5" s="56" t="str">
        <f t="shared" si="1"/>
        <v>#VALUE!</v>
      </c>
      <c r="K5" s="46" t="s">
        <v>98</v>
      </c>
      <c r="L5" s="52" t="str">
        <f>COUNTIFS(Lev.Quadros!$E$3:$E$23,K5,#REF!,"exaustores")</f>
        <v>#VALUE!</v>
      </c>
      <c r="M5" s="59"/>
      <c r="N5" s="60" t="str">
        <f t="shared" si="2"/>
        <v>#VALUE!</v>
      </c>
    </row>
    <row r="6">
      <c r="B6" s="46" t="s">
        <v>100</v>
      </c>
      <c r="C6" s="47">
        <f>COUNTIF(Lev.Quadros!$E$3:$E$23,B6)</f>
        <v>0</v>
      </c>
      <c r="D6" s="39"/>
      <c r="F6" s="46" t="s">
        <v>100</v>
      </c>
      <c r="G6" s="49" t="str">
        <f>COUNTIFS(Lev.Quadros!$E$3:$E$23,F6,#REF!,"fancoil")</f>
        <v>#VALUE!</v>
      </c>
      <c r="H6" s="55"/>
      <c r="I6" s="56" t="str">
        <f t="shared" si="1"/>
        <v>#VALUE!</v>
      </c>
      <c r="K6" s="46" t="s">
        <v>99</v>
      </c>
      <c r="L6" s="52" t="str">
        <f>COUNTIFS(Lev.Quadros!$E$3:$E$23,K6,#REF!,"exaustores")</f>
        <v>#VALUE!</v>
      </c>
      <c r="M6" s="59"/>
      <c r="N6" s="60" t="str">
        <f t="shared" si="2"/>
        <v>#VALUE!</v>
      </c>
    </row>
    <row r="7">
      <c r="B7" s="46" t="s">
        <v>101</v>
      </c>
      <c r="C7" s="47">
        <f>COUNTIF(Lev.Quadros!$E$3:$E$23,B7)</f>
        <v>0</v>
      </c>
      <c r="D7" s="39"/>
      <c r="F7" s="46" t="s">
        <v>101</v>
      </c>
      <c r="G7" s="49" t="str">
        <f>COUNTIFS(Lev.Quadros!$E$3:$E$23,F7,#REF!,"fancoil")</f>
        <v>#VALUE!</v>
      </c>
      <c r="H7" s="55"/>
      <c r="I7" s="56" t="str">
        <f t="shared" si="1"/>
        <v>#VALUE!</v>
      </c>
      <c r="K7" s="46" t="s">
        <v>100</v>
      </c>
      <c r="L7" s="52" t="str">
        <f>COUNTIFS(Lev.Quadros!$E$3:$E$23,K7,#REF!,"exaustores")</f>
        <v>#VALUE!</v>
      </c>
      <c r="M7" s="59"/>
      <c r="N7" s="60" t="str">
        <f t="shared" si="2"/>
        <v>#VALUE!</v>
      </c>
    </row>
    <row r="8">
      <c r="B8" s="46" t="s">
        <v>102</v>
      </c>
      <c r="C8" s="47">
        <f>COUNTIF(Lev.Quadros!$E$3:$E$23,B8)</f>
        <v>0</v>
      </c>
      <c r="D8" s="39"/>
      <c r="F8" s="46" t="s">
        <v>102</v>
      </c>
      <c r="G8" s="49" t="str">
        <f>COUNTIFS(Lev.Quadros!$E$3:$E$23,F8,#REF!,"fancoil")</f>
        <v>#VALUE!</v>
      </c>
      <c r="H8" s="55"/>
      <c r="I8" s="56" t="str">
        <f t="shared" si="1"/>
        <v>#VALUE!</v>
      </c>
      <c r="K8" s="46" t="s">
        <v>101</v>
      </c>
      <c r="L8" s="52" t="str">
        <f>COUNTIFS(Lev.Quadros!$E$3:$E$23,K8,#REF!,"exaustores")</f>
        <v>#VALUE!</v>
      </c>
      <c r="M8" s="59"/>
      <c r="N8" s="60" t="str">
        <f t="shared" si="2"/>
        <v>#VALUE!</v>
      </c>
    </row>
    <row r="9">
      <c r="B9" s="61" t="s">
        <v>103</v>
      </c>
      <c r="C9" s="62">
        <f>COUNTIF(Lev.Quadros!$E$3:$E$23,B9)</f>
        <v>0</v>
      </c>
      <c r="D9" s="39"/>
      <c r="F9" s="61" t="s">
        <v>103</v>
      </c>
      <c r="G9" s="49" t="str">
        <f>COUNTIFS(Lev.Quadros!$E$3:$E$23,F9,#REF!,"fancoil")</f>
        <v>#VALUE!</v>
      </c>
      <c r="H9" s="63"/>
      <c r="I9" s="64" t="str">
        <f t="shared" si="1"/>
        <v>#VALUE!</v>
      </c>
      <c r="K9" s="46" t="s">
        <v>102</v>
      </c>
      <c r="L9" s="52" t="str">
        <f>COUNTIFS(Lev.Quadros!$E$3:$E$23,K9,#REF!,"exaustores")</f>
        <v>#VALUE!</v>
      </c>
      <c r="M9" s="59"/>
      <c r="N9" s="60" t="str">
        <f t="shared" si="2"/>
        <v>#VALUE!</v>
      </c>
    </row>
    <row r="10">
      <c r="B10" s="65" t="s">
        <v>104</v>
      </c>
      <c r="C10" s="45">
        <f>SUM(C2:C9)</f>
        <v>0</v>
      </c>
      <c r="D10" s="66"/>
      <c r="F10" s="40" t="s">
        <v>104</v>
      </c>
      <c r="G10" s="67" t="str">
        <f t="shared" ref="G10:H10" si="3">SUM(G3:G9)</f>
        <v>#VALUE!</v>
      </c>
      <c r="H10" s="68">
        <f t="shared" si="3"/>
        <v>0</v>
      </c>
      <c r="I10" s="69" t="str">
        <f t="shared" si="1"/>
        <v>#VALUE!</v>
      </c>
      <c r="K10" s="61" t="s">
        <v>103</v>
      </c>
      <c r="L10" s="52" t="str">
        <f>COUNTIFS(Lev.Quadros!$E$3:$E$23,K10,#REF!,"exaustores")</f>
        <v>#VALUE!</v>
      </c>
      <c r="M10" s="70"/>
      <c r="N10" s="71" t="str">
        <f t="shared" si="2"/>
        <v>#VALUE!</v>
      </c>
    </row>
    <row r="11">
      <c r="B11" s="66"/>
      <c r="K11" s="40" t="s">
        <v>104</v>
      </c>
      <c r="L11" s="72" t="str">
        <f t="shared" ref="L11:M11" si="4">SUM(L4:L10)</f>
        <v>#VALUE!</v>
      </c>
      <c r="M11" s="40">
        <f t="shared" si="4"/>
        <v>0</v>
      </c>
      <c r="N11" s="73" t="str">
        <f t="shared" si="2"/>
        <v>#VALUE!</v>
      </c>
    </row>
    <row r="12">
      <c r="B12" s="66"/>
    </row>
    <row r="13">
      <c r="B13" s="66"/>
    </row>
    <row r="14">
      <c r="B14" s="66"/>
    </row>
    <row r="15">
      <c r="B15" s="66"/>
    </row>
    <row r="16">
      <c r="B16" s="66"/>
    </row>
    <row r="17">
      <c r="B17" s="66"/>
    </row>
    <row r="18">
      <c r="B18" s="66"/>
    </row>
    <row r="19">
      <c r="B19" s="66"/>
    </row>
    <row r="20">
      <c r="B20" s="66"/>
    </row>
    <row r="21" ht="15.75" customHeight="1">
      <c r="B21" s="66"/>
    </row>
    <row r="22" ht="15.75" customHeight="1">
      <c r="B22" s="66"/>
    </row>
    <row r="23" ht="15.75" customHeight="1">
      <c r="B23" s="66"/>
    </row>
    <row r="24" ht="15.75" customHeight="1">
      <c r="B24" s="66"/>
    </row>
    <row r="25" ht="15.75" customHeight="1">
      <c r="B25" s="66"/>
    </row>
    <row r="26" ht="15.75" customHeight="1">
      <c r="B26" s="66"/>
    </row>
    <row r="27" ht="15.75" customHeight="1">
      <c r="B27" s="66"/>
    </row>
    <row r="28" ht="15.75" customHeight="1">
      <c r="B28" s="66"/>
    </row>
    <row r="29" ht="15.75" customHeight="1">
      <c r="B29" s="66"/>
    </row>
    <row r="30" ht="15.75" customHeight="1">
      <c r="B30" s="66"/>
    </row>
    <row r="31" ht="15.75" customHeight="1">
      <c r="B31" s="66"/>
    </row>
    <row r="32" ht="15.75" customHeight="1">
      <c r="B32" s="66"/>
    </row>
    <row r="33" ht="15.75" customHeight="1">
      <c r="B33" s="66"/>
    </row>
    <row r="34" ht="15.75" customHeight="1">
      <c r="B34" s="66"/>
    </row>
    <row r="35" ht="15.75" customHeight="1">
      <c r="B35" s="66"/>
    </row>
    <row r="36" ht="15.75" customHeight="1">
      <c r="B36" s="66"/>
    </row>
    <row r="37" ht="15.75" customHeight="1">
      <c r="B37" s="66"/>
    </row>
    <row r="38" ht="15.75" customHeight="1">
      <c r="B38" s="66"/>
    </row>
    <row r="39" ht="15.75" customHeight="1">
      <c r="B39" s="66"/>
    </row>
    <row r="40" ht="15.75" customHeight="1">
      <c r="B40" s="66"/>
    </row>
    <row r="41" ht="15.75" customHeight="1">
      <c r="B41" s="66"/>
    </row>
    <row r="42" ht="15.75" customHeight="1">
      <c r="B42" s="66"/>
    </row>
    <row r="43" ht="15.75" customHeight="1">
      <c r="B43" s="66"/>
    </row>
    <row r="44" ht="15.75" customHeight="1">
      <c r="B44" s="66"/>
    </row>
    <row r="45" ht="15.75" customHeight="1">
      <c r="B45" s="66"/>
    </row>
    <row r="46" ht="15.75" customHeight="1">
      <c r="B46" s="66"/>
    </row>
    <row r="47" ht="15.75" customHeight="1">
      <c r="B47" s="66"/>
    </row>
    <row r="48" ht="15.75" customHeight="1">
      <c r="B48" s="66"/>
    </row>
    <row r="49" ht="15.75" customHeight="1">
      <c r="B49" s="66"/>
    </row>
    <row r="50" ht="15.75" customHeight="1">
      <c r="B50" s="66"/>
    </row>
    <row r="51" ht="15.75" customHeight="1">
      <c r="B51" s="66"/>
    </row>
    <row r="52" ht="15.75" customHeight="1">
      <c r="B52" s="66"/>
    </row>
    <row r="53" ht="15.75" customHeight="1">
      <c r="B53" s="66"/>
    </row>
    <row r="54" ht="15.75" customHeight="1">
      <c r="B54" s="66"/>
    </row>
    <row r="55" ht="15.75" customHeight="1">
      <c r="B55" s="66"/>
    </row>
    <row r="56" ht="15.75" customHeight="1">
      <c r="B56" s="66"/>
    </row>
    <row r="57" ht="15.75" customHeight="1">
      <c r="B57" s="66"/>
    </row>
    <row r="58" ht="15.75" customHeight="1">
      <c r="B58" s="66"/>
    </row>
    <row r="59" ht="15.75" customHeight="1">
      <c r="B59" s="66"/>
    </row>
    <row r="60" ht="15.75" customHeight="1">
      <c r="B60" s="66"/>
    </row>
    <row r="61" ht="15.75" customHeight="1">
      <c r="B61" s="66"/>
    </row>
    <row r="62" ht="15.75" customHeight="1">
      <c r="B62" s="66"/>
    </row>
    <row r="63" ht="15.75" customHeight="1">
      <c r="B63" s="66"/>
    </row>
    <row r="64" ht="15.75" customHeight="1">
      <c r="B64" s="66"/>
    </row>
    <row r="65" ht="15.75" customHeight="1">
      <c r="B65" s="66"/>
    </row>
    <row r="66" ht="15.75" customHeight="1">
      <c r="B66" s="66"/>
    </row>
    <row r="67" ht="15.75" customHeight="1">
      <c r="B67" s="66"/>
    </row>
    <row r="68" ht="15.75" customHeight="1">
      <c r="B68" s="66"/>
    </row>
    <row r="69" ht="15.75" customHeight="1">
      <c r="B69" s="66"/>
    </row>
    <row r="70" ht="15.75" customHeight="1">
      <c r="B70" s="66"/>
    </row>
    <row r="71" ht="15.75" customHeight="1">
      <c r="B71" s="66"/>
    </row>
    <row r="72" ht="15.75" customHeight="1">
      <c r="B72" s="66"/>
    </row>
    <row r="73" ht="15.75" customHeight="1">
      <c r="B73" s="66"/>
    </row>
    <row r="74" ht="15.75" customHeight="1">
      <c r="B74" s="66"/>
    </row>
    <row r="75" ht="15.75" customHeight="1">
      <c r="B75" s="66"/>
    </row>
    <row r="76" ht="15.75" customHeight="1">
      <c r="B76" s="66"/>
    </row>
    <row r="77" ht="15.75" customHeight="1">
      <c r="B77" s="66"/>
    </row>
    <row r="78" ht="15.75" customHeight="1">
      <c r="B78" s="66"/>
    </row>
    <row r="79" ht="15.75" customHeight="1">
      <c r="B79" s="66"/>
    </row>
    <row r="80" ht="15.75" customHeight="1">
      <c r="B80" s="66"/>
    </row>
    <row r="81" ht="15.75" customHeight="1">
      <c r="B81" s="66"/>
    </row>
    <row r="82" ht="15.75" customHeight="1">
      <c r="B82" s="66"/>
    </row>
    <row r="83" ht="15.75" customHeight="1">
      <c r="B83" s="66"/>
    </row>
    <row r="84" ht="15.75" customHeight="1">
      <c r="B84" s="66"/>
    </row>
    <row r="85" ht="15.75" customHeight="1">
      <c r="B85" s="66"/>
    </row>
    <row r="86" ht="15.75" customHeight="1">
      <c r="B86" s="66"/>
    </row>
    <row r="87" ht="15.75" customHeight="1">
      <c r="B87" s="66"/>
    </row>
    <row r="88" ht="15.75" customHeight="1">
      <c r="B88" s="66"/>
    </row>
    <row r="89" ht="15.75" customHeight="1">
      <c r="B89" s="66"/>
    </row>
    <row r="90" ht="15.75" customHeight="1">
      <c r="B90" s="66"/>
    </row>
    <row r="91" ht="15.75" customHeight="1">
      <c r="B91" s="66"/>
    </row>
    <row r="92" ht="15.75" customHeight="1">
      <c r="B92" s="66"/>
    </row>
    <row r="93" ht="15.75" customHeight="1">
      <c r="B93" s="66"/>
    </row>
    <row r="94" ht="15.75" customHeight="1">
      <c r="B94" s="66"/>
    </row>
    <row r="95" ht="15.75" customHeight="1">
      <c r="B95" s="66"/>
    </row>
    <row r="96" ht="15.75" customHeight="1">
      <c r="B96" s="66"/>
    </row>
    <row r="97" ht="15.75" customHeight="1">
      <c r="B97" s="66"/>
    </row>
    <row r="98" ht="15.75" customHeight="1">
      <c r="B98" s="66"/>
    </row>
    <row r="99" ht="15.75" customHeight="1">
      <c r="B99" s="66"/>
    </row>
    <row r="100" ht="15.75" customHeight="1">
      <c r="B100" s="66"/>
    </row>
    <row r="101" ht="15.75" customHeight="1">
      <c r="B101" s="66"/>
    </row>
    <row r="102" ht="15.75" customHeight="1">
      <c r="B102" s="66"/>
    </row>
    <row r="103" ht="15.75" customHeight="1">
      <c r="B103" s="66"/>
    </row>
    <row r="104" ht="15.75" customHeight="1">
      <c r="B104" s="66"/>
    </row>
    <row r="105" ht="15.75" customHeight="1">
      <c r="B105" s="66"/>
    </row>
    <row r="106" ht="15.75" customHeight="1">
      <c r="B106" s="66"/>
    </row>
    <row r="107" ht="15.75" customHeight="1">
      <c r="B107" s="66"/>
    </row>
    <row r="108" ht="15.75" customHeight="1">
      <c r="B108" s="66"/>
    </row>
    <row r="109" ht="15.75" customHeight="1">
      <c r="B109" s="66"/>
    </row>
    <row r="110" ht="15.75" customHeight="1">
      <c r="B110" s="66"/>
    </row>
    <row r="111" ht="15.75" customHeight="1">
      <c r="B111" s="66"/>
    </row>
    <row r="112" ht="15.75" customHeight="1">
      <c r="B112" s="66"/>
    </row>
    <row r="113" ht="15.75" customHeight="1">
      <c r="B113" s="66"/>
    </row>
    <row r="114" ht="15.75" customHeight="1">
      <c r="B114" s="66"/>
    </row>
    <row r="115" ht="15.75" customHeight="1">
      <c r="B115" s="66"/>
    </row>
    <row r="116" ht="15.75" customHeight="1">
      <c r="B116" s="66"/>
    </row>
    <row r="117" ht="15.75" customHeight="1">
      <c r="B117" s="66"/>
    </row>
    <row r="118" ht="15.75" customHeight="1">
      <c r="B118" s="66"/>
    </row>
    <row r="119" ht="15.75" customHeight="1">
      <c r="B119" s="66"/>
    </row>
    <row r="120" ht="15.75" customHeight="1">
      <c r="B120" s="66"/>
    </row>
    <row r="121" ht="15.75" customHeight="1">
      <c r="B121" s="66"/>
    </row>
    <row r="122" ht="15.75" customHeight="1">
      <c r="B122" s="66"/>
    </row>
    <row r="123" ht="15.75" customHeight="1">
      <c r="B123" s="66"/>
    </row>
    <row r="124" ht="15.75" customHeight="1">
      <c r="B124" s="66"/>
    </row>
    <row r="125" ht="15.75" customHeight="1">
      <c r="B125" s="66"/>
    </row>
    <row r="126" ht="15.75" customHeight="1">
      <c r="B126" s="66"/>
    </row>
    <row r="127" ht="15.75" customHeight="1">
      <c r="B127" s="66"/>
    </row>
    <row r="128" ht="15.75" customHeight="1">
      <c r="B128" s="66"/>
    </row>
    <row r="129" ht="15.75" customHeight="1">
      <c r="B129" s="66"/>
    </row>
    <row r="130" ht="15.75" customHeight="1">
      <c r="B130" s="66"/>
    </row>
    <row r="131" ht="15.75" customHeight="1">
      <c r="B131" s="66"/>
    </row>
    <row r="132" ht="15.75" customHeight="1">
      <c r="B132" s="66"/>
    </row>
    <row r="133" ht="15.75" customHeight="1">
      <c r="B133" s="66"/>
    </row>
    <row r="134" ht="15.75" customHeight="1">
      <c r="B134" s="66"/>
    </row>
    <row r="135" ht="15.75" customHeight="1">
      <c r="B135" s="66"/>
    </row>
    <row r="136" ht="15.75" customHeight="1">
      <c r="B136" s="66"/>
    </row>
    <row r="137" ht="15.75" customHeight="1">
      <c r="B137" s="66"/>
    </row>
    <row r="138" ht="15.75" customHeight="1">
      <c r="B138" s="66"/>
    </row>
    <row r="139" ht="15.75" customHeight="1">
      <c r="B139" s="66"/>
    </row>
    <row r="140" ht="15.75" customHeight="1">
      <c r="B140" s="66"/>
    </row>
    <row r="141" ht="15.75" customHeight="1">
      <c r="B141" s="66"/>
    </row>
    <row r="142" ht="15.75" customHeight="1">
      <c r="B142" s="66"/>
    </row>
    <row r="143" ht="15.75" customHeight="1">
      <c r="B143" s="66"/>
    </row>
    <row r="144" ht="15.75" customHeight="1">
      <c r="B144" s="66"/>
    </row>
    <row r="145" ht="15.75" customHeight="1">
      <c r="B145" s="66"/>
    </row>
    <row r="146" ht="15.75" customHeight="1">
      <c r="B146" s="66"/>
    </row>
    <row r="147" ht="15.75" customHeight="1">
      <c r="B147" s="66"/>
    </row>
    <row r="148" ht="15.75" customHeight="1">
      <c r="B148" s="66"/>
    </row>
    <row r="149" ht="15.75" customHeight="1">
      <c r="B149" s="66"/>
    </row>
    <row r="150" ht="15.75" customHeight="1">
      <c r="B150" s="66"/>
    </row>
    <row r="151" ht="15.75" customHeight="1">
      <c r="B151" s="66"/>
    </row>
    <row r="152" ht="15.75" customHeight="1">
      <c r="B152" s="66"/>
    </row>
    <row r="153" ht="15.75" customHeight="1">
      <c r="B153" s="66"/>
    </row>
    <row r="154" ht="15.75" customHeight="1">
      <c r="B154" s="66"/>
    </row>
    <row r="155" ht="15.75" customHeight="1">
      <c r="B155" s="66"/>
    </row>
    <row r="156" ht="15.75" customHeight="1">
      <c r="B156" s="66"/>
    </row>
    <row r="157" ht="15.75" customHeight="1">
      <c r="B157" s="66"/>
    </row>
    <row r="158" ht="15.75" customHeight="1">
      <c r="B158" s="66"/>
    </row>
    <row r="159" ht="15.75" customHeight="1">
      <c r="B159" s="66"/>
    </row>
    <row r="160" ht="15.75" customHeight="1">
      <c r="B160" s="66"/>
    </row>
    <row r="161" ht="15.75" customHeight="1">
      <c r="B161" s="66"/>
    </row>
    <row r="162" ht="15.75" customHeight="1">
      <c r="B162" s="66"/>
    </row>
    <row r="163" ht="15.75" customHeight="1">
      <c r="B163" s="66"/>
    </row>
    <row r="164" ht="15.75" customHeight="1">
      <c r="B164" s="66"/>
    </row>
    <row r="165" ht="15.75" customHeight="1">
      <c r="B165" s="66"/>
    </row>
    <row r="166" ht="15.75" customHeight="1">
      <c r="B166" s="66"/>
    </row>
    <row r="167" ht="15.75" customHeight="1">
      <c r="B167" s="66"/>
    </row>
    <row r="168" ht="15.75" customHeight="1">
      <c r="B168" s="66"/>
    </row>
    <row r="169" ht="15.75" customHeight="1">
      <c r="B169" s="66"/>
    </row>
    <row r="170" ht="15.75" customHeight="1">
      <c r="B170" s="66"/>
    </row>
    <row r="171" ht="15.75" customHeight="1">
      <c r="B171" s="66"/>
    </row>
    <row r="172" ht="15.75" customHeight="1">
      <c r="B172" s="66"/>
    </row>
    <row r="173" ht="15.75" customHeight="1">
      <c r="B173" s="66"/>
    </row>
    <row r="174" ht="15.75" customHeight="1">
      <c r="B174" s="66"/>
    </row>
    <row r="175" ht="15.75" customHeight="1">
      <c r="B175" s="66"/>
    </row>
    <row r="176" ht="15.75" customHeight="1">
      <c r="B176" s="66"/>
    </row>
    <row r="177" ht="15.75" customHeight="1">
      <c r="B177" s="66"/>
    </row>
    <row r="178" ht="15.75" customHeight="1">
      <c r="B178" s="66"/>
    </row>
    <row r="179" ht="15.75" customHeight="1">
      <c r="B179" s="66"/>
    </row>
    <row r="180" ht="15.75" customHeight="1">
      <c r="B180" s="66"/>
    </row>
    <row r="181" ht="15.75" customHeight="1">
      <c r="B181" s="66"/>
    </row>
    <row r="182" ht="15.75" customHeight="1">
      <c r="B182" s="66"/>
    </row>
    <row r="183" ht="15.75" customHeight="1">
      <c r="B183" s="66"/>
    </row>
    <row r="184" ht="15.75" customHeight="1">
      <c r="B184" s="66"/>
    </row>
    <row r="185" ht="15.75" customHeight="1">
      <c r="B185" s="66"/>
    </row>
    <row r="186" ht="15.75" customHeight="1">
      <c r="B186" s="66"/>
    </row>
    <row r="187" ht="15.75" customHeight="1">
      <c r="B187" s="66"/>
    </row>
    <row r="188" ht="15.75" customHeight="1">
      <c r="B188" s="66"/>
    </row>
    <row r="189" ht="15.75" customHeight="1">
      <c r="B189" s="66"/>
    </row>
    <row r="190" ht="15.75" customHeight="1">
      <c r="B190" s="66"/>
    </row>
    <row r="191" ht="15.75" customHeight="1">
      <c r="B191" s="66"/>
    </row>
    <row r="192" ht="15.75" customHeight="1">
      <c r="B192" s="66"/>
    </row>
    <row r="193" ht="15.75" customHeight="1">
      <c r="B193" s="66"/>
    </row>
    <row r="194" ht="15.75" customHeight="1">
      <c r="B194" s="66"/>
    </row>
    <row r="195" ht="15.75" customHeight="1">
      <c r="B195" s="66"/>
    </row>
    <row r="196" ht="15.75" customHeight="1">
      <c r="B196" s="66"/>
    </row>
    <row r="197" ht="15.75" customHeight="1">
      <c r="B197" s="66"/>
    </row>
    <row r="198" ht="15.75" customHeight="1">
      <c r="B198" s="66"/>
    </row>
    <row r="199" ht="15.75" customHeight="1">
      <c r="B199" s="66"/>
    </row>
    <row r="200" ht="15.75" customHeight="1">
      <c r="B200" s="66"/>
    </row>
    <row r="201" ht="15.75" customHeight="1">
      <c r="B201" s="66"/>
    </row>
    <row r="202" ht="15.75" customHeight="1">
      <c r="B202" s="66"/>
    </row>
    <row r="203" ht="15.75" customHeight="1">
      <c r="B203" s="66"/>
    </row>
    <row r="204" ht="15.75" customHeight="1">
      <c r="B204" s="66"/>
    </row>
    <row r="205" ht="15.75" customHeight="1">
      <c r="B205" s="66"/>
    </row>
    <row r="206" ht="15.75" customHeight="1">
      <c r="B206" s="66"/>
    </row>
    <row r="207" ht="15.75" customHeight="1">
      <c r="B207" s="66"/>
    </row>
    <row r="208" ht="15.75" customHeight="1">
      <c r="B208" s="66"/>
    </row>
    <row r="209" ht="15.75" customHeight="1">
      <c r="B209" s="66"/>
    </row>
    <row r="210" ht="15.75" customHeight="1">
      <c r="B210" s="66"/>
    </row>
    <row r="211" ht="15.75" customHeight="1">
      <c r="B211" s="66"/>
    </row>
    <row r="212" ht="15.75" customHeight="1">
      <c r="B212" s="66"/>
    </row>
    <row r="213" ht="15.75" customHeight="1">
      <c r="B213" s="66"/>
    </row>
    <row r="214" ht="15.75" customHeight="1">
      <c r="B214" s="66"/>
    </row>
    <row r="215" ht="15.75" customHeight="1">
      <c r="B215" s="66"/>
    </row>
    <row r="216" ht="15.75" customHeight="1">
      <c r="B216" s="66"/>
    </row>
    <row r="217" ht="15.75" customHeight="1">
      <c r="B217" s="66"/>
    </row>
    <row r="218" ht="15.75" customHeight="1">
      <c r="B218" s="66"/>
    </row>
    <row r="219" ht="15.75" customHeight="1">
      <c r="B219" s="66"/>
    </row>
    <row r="220" ht="15.75" customHeight="1">
      <c r="B220" s="66"/>
    </row>
    <row r="221" ht="15.75" customHeight="1">
      <c r="B221" s="66"/>
    </row>
    <row r="222" ht="15.75" customHeight="1">
      <c r="B222" s="66"/>
    </row>
    <row r="223" ht="15.75" customHeight="1">
      <c r="B223" s="66"/>
    </row>
    <row r="224" ht="15.75" customHeight="1">
      <c r="B224" s="66"/>
    </row>
    <row r="225" ht="15.75" customHeight="1">
      <c r="B225" s="66"/>
    </row>
    <row r="226" ht="15.75" customHeight="1">
      <c r="B226" s="66"/>
    </row>
    <row r="227" ht="15.75" customHeight="1">
      <c r="B227" s="66"/>
    </row>
    <row r="228" ht="15.75" customHeight="1">
      <c r="B228" s="66"/>
    </row>
    <row r="229" ht="15.75" customHeight="1">
      <c r="B229" s="66"/>
    </row>
    <row r="230" ht="15.75" customHeight="1">
      <c r="B230" s="66"/>
    </row>
    <row r="231" ht="15.75" customHeight="1">
      <c r="B231" s="66"/>
    </row>
    <row r="232" ht="15.75" customHeight="1">
      <c r="B232" s="66"/>
    </row>
    <row r="233" ht="15.75" customHeight="1">
      <c r="B233" s="66"/>
    </row>
    <row r="234" ht="15.75" customHeight="1">
      <c r="B234" s="66"/>
    </row>
    <row r="235" ht="15.75" customHeight="1">
      <c r="B235" s="66"/>
    </row>
    <row r="236" ht="15.75" customHeight="1">
      <c r="B236" s="66"/>
    </row>
    <row r="237" ht="15.75" customHeight="1">
      <c r="B237" s="66"/>
    </row>
    <row r="238" ht="15.75" customHeight="1">
      <c r="B238" s="66"/>
    </row>
    <row r="239" ht="15.75" customHeight="1">
      <c r="B239" s="66"/>
    </row>
    <row r="240" ht="15.75" customHeight="1">
      <c r="B240" s="66"/>
    </row>
    <row r="241" ht="15.75" customHeight="1">
      <c r="B241" s="66"/>
    </row>
    <row r="242" ht="15.75" customHeight="1">
      <c r="B242" s="66"/>
    </row>
    <row r="243" ht="15.75" customHeight="1">
      <c r="B243" s="66"/>
    </row>
    <row r="244" ht="15.75" customHeight="1">
      <c r="B244" s="66"/>
    </row>
    <row r="245" ht="15.75" customHeight="1">
      <c r="B245" s="66"/>
    </row>
    <row r="246" ht="15.75" customHeight="1">
      <c r="B246" s="66"/>
    </row>
    <row r="247" ht="15.75" customHeight="1">
      <c r="B247" s="66"/>
    </row>
    <row r="248" ht="15.75" customHeight="1">
      <c r="B248" s="66"/>
    </row>
    <row r="249" ht="15.75" customHeight="1">
      <c r="B249" s="66"/>
    </row>
    <row r="250" ht="15.75" customHeight="1">
      <c r="B250" s="66"/>
    </row>
    <row r="251" ht="15.75" customHeight="1">
      <c r="B251" s="66"/>
    </row>
    <row r="252" ht="15.75" customHeight="1">
      <c r="B252" s="66"/>
    </row>
    <row r="253" ht="15.75" customHeight="1">
      <c r="B253" s="66"/>
    </row>
    <row r="254" ht="15.75" customHeight="1">
      <c r="B254" s="66"/>
    </row>
    <row r="255" ht="15.75" customHeight="1">
      <c r="B255" s="66"/>
    </row>
    <row r="256" ht="15.75" customHeight="1">
      <c r="B256" s="66"/>
    </row>
    <row r="257" ht="15.75" customHeight="1">
      <c r="B257" s="66"/>
    </row>
    <row r="258" ht="15.75" customHeight="1">
      <c r="B258" s="66"/>
    </row>
    <row r="259" ht="15.75" customHeight="1">
      <c r="B259" s="66"/>
    </row>
    <row r="260" ht="15.75" customHeight="1">
      <c r="B260" s="66"/>
    </row>
    <row r="261" ht="15.75" customHeight="1">
      <c r="B261" s="66"/>
    </row>
    <row r="262" ht="15.75" customHeight="1">
      <c r="B262" s="66"/>
    </row>
    <row r="263" ht="15.75" customHeight="1">
      <c r="B263" s="66"/>
    </row>
    <row r="264" ht="15.75" customHeight="1">
      <c r="B264" s="66"/>
    </row>
    <row r="265" ht="15.75" customHeight="1">
      <c r="B265" s="66"/>
    </row>
    <row r="266" ht="15.75" customHeight="1">
      <c r="B266" s="66"/>
    </row>
    <row r="267" ht="15.75" customHeight="1">
      <c r="B267" s="66"/>
    </row>
    <row r="268" ht="15.75" customHeight="1">
      <c r="B268" s="66"/>
    </row>
    <row r="269" ht="15.75" customHeight="1">
      <c r="B269" s="66"/>
    </row>
    <row r="270" ht="15.75" customHeight="1">
      <c r="B270" s="66"/>
    </row>
    <row r="271" ht="15.75" customHeight="1">
      <c r="B271" s="66"/>
    </row>
    <row r="272" ht="15.75" customHeight="1">
      <c r="B272" s="66"/>
    </row>
    <row r="273" ht="15.75" customHeight="1">
      <c r="B273" s="66"/>
    </row>
    <row r="274" ht="15.75" customHeight="1">
      <c r="B274" s="66"/>
    </row>
    <row r="275" ht="15.75" customHeight="1">
      <c r="B275" s="66"/>
    </row>
    <row r="276" ht="15.75" customHeight="1">
      <c r="B276" s="66"/>
    </row>
    <row r="277" ht="15.75" customHeight="1">
      <c r="B277" s="66"/>
    </row>
    <row r="278" ht="15.75" customHeight="1">
      <c r="B278" s="66"/>
    </row>
    <row r="279" ht="15.75" customHeight="1">
      <c r="B279" s="66"/>
    </row>
    <row r="280" ht="15.75" customHeight="1">
      <c r="B280" s="66"/>
    </row>
    <row r="281" ht="15.75" customHeight="1">
      <c r="B281" s="66"/>
    </row>
    <row r="282" ht="15.75" customHeight="1">
      <c r="B282" s="66"/>
    </row>
    <row r="283" ht="15.75" customHeight="1">
      <c r="B283" s="66"/>
    </row>
    <row r="284" ht="15.75" customHeight="1">
      <c r="B284" s="66"/>
    </row>
    <row r="285" ht="15.75" customHeight="1">
      <c r="B285" s="66"/>
    </row>
    <row r="286" ht="15.75" customHeight="1">
      <c r="B286" s="66"/>
    </row>
    <row r="287" ht="15.75" customHeight="1">
      <c r="B287" s="66"/>
    </row>
    <row r="288" ht="15.75" customHeight="1">
      <c r="B288" s="66"/>
    </row>
    <row r="289" ht="15.75" customHeight="1">
      <c r="B289" s="66"/>
    </row>
    <row r="290" ht="15.75" customHeight="1">
      <c r="B290" s="66"/>
    </row>
    <row r="291" ht="15.75" customHeight="1">
      <c r="B291" s="66"/>
    </row>
    <row r="292" ht="15.75" customHeight="1">
      <c r="B292" s="66"/>
    </row>
    <row r="293" ht="15.75" customHeight="1">
      <c r="B293" s="66"/>
    </row>
    <row r="294" ht="15.75" customHeight="1">
      <c r="B294" s="66"/>
    </row>
    <row r="295" ht="15.75" customHeight="1">
      <c r="B295" s="66"/>
    </row>
    <row r="296" ht="15.75" customHeight="1">
      <c r="B296" s="66"/>
    </row>
    <row r="297" ht="15.75" customHeight="1">
      <c r="B297" s="66"/>
    </row>
    <row r="298" ht="15.75" customHeight="1">
      <c r="B298" s="66"/>
    </row>
    <row r="299" ht="15.75" customHeight="1">
      <c r="B299" s="66"/>
    </row>
    <row r="300" ht="15.75" customHeight="1">
      <c r="B300" s="66"/>
    </row>
    <row r="301" ht="15.75" customHeight="1">
      <c r="B301" s="66"/>
    </row>
    <row r="302" ht="15.75" customHeight="1">
      <c r="B302" s="66"/>
    </row>
    <row r="303" ht="15.75" customHeight="1">
      <c r="B303" s="66"/>
    </row>
    <row r="304" ht="15.75" customHeight="1">
      <c r="B304" s="66"/>
    </row>
    <row r="305" ht="15.75" customHeight="1">
      <c r="B305" s="66"/>
    </row>
    <row r="306" ht="15.75" customHeight="1">
      <c r="B306" s="66"/>
    </row>
    <row r="307" ht="15.75" customHeight="1">
      <c r="B307" s="66"/>
    </row>
    <row r="308" ht="15.75" customHeight="1">
      <c r="B308" s="66"/>
    </row>
    <row r="309" ht="15.75" customHeight="1">
      <c r="B309" s="66"/>
    </row>
    <row r="310" ht="15.75" customHeight="1">
      <c r="B310" s="66"/>
    </row>
    <row r="311" ht="15.75" customHeight="1">
      <c r="B311" s="66"/>
    </row>
    <row r="312" ht="15.75" customHeight="1">
      <c r="B312" s="66"/>
    </row>
    <row r="313" ht="15.75" customHeight="1">
      <c r="B313" s="66"/>
    </row>
    <row r="314" ht="15.75" customHeight="1">
      <c r="B314" s="66"/>
    </row>
    <row r="315" ht="15.75" customHeight="1">
      <c r="B315" s="66"/>
    </row>
    <row r="316" ht="15.75" customHeight="1">
      <c r="B316" s="66"/>
    </row>
    <row r="317" ht="15.75" customHeight="1">
      <c r="B317" s="66"/>
    </row>
    <row r="318" ht="15.75" customHeight="1">
      <c r="B318" s="66"/>
    </row>
    <row r="319" ht="15.75" customHeight="1">
      <c r="B319" s="66"/>
    </row>
    <row r="320" ht="15.75" customHeight="1">
      <c r="B320" s="66"/>
    </row>
    <row r="321" ht="15.75" customHeight="1">
      <c r="B321" s="66"/>
    </row>
    <row r="322" ht="15.75" customHeight="1">
      <c r="B322" s="66"/>
    </row>
    <row r="323" ht="15.75" customHeight="1">
      <c r="B323" s="66"/>
    </row>
    <row r="324" ht="15.75" customHeight="1">
      <c r="B324" s="66"/>
    </row>
    <row r="325" ht="15.75" customHeight="1">
      <c r="B325" s="66"/>
    </row>
    <row r="326" ht="15.75" customHeight="1">
      <c r="B326" s="66"/>
    </row>
    <row r="327" ht="15.75" customHeight="1">
      <c r="B327" s="66"/>
    </row>
    <row r="328" ht="15.75" customHeight="1">
      <c r="B328" s="66"/>
    </row>
    <row r="329" ht="15.75" customHeight="1">
      <c r="B329" s="66"/>
    </row>
    <row r="330" ht="15.75" customHeight="1">
      <c r="B330" s="66"/>
    </row>
    <row r="331" ht="15.75" customHeight="1">
      <c r="B331" s="66"/>
    </row>
    <row r="332" ht="15.75" customHeight="1">
      <c r="B332" s="66"/>
    </row>
    <row r="333" ht="15.75" customHeight="1">
      <c r="B333" s="66"/>
    </row>
    <row r="334" ht="15.75" customHeight="1">
      <c r="B334" s="66"/>
    </row>
    <row r="335" ht="15.75" customHeight="1">
      <c r="B335" s="66"/>
    </row>
    <row r="336" ht="15.75" customHeight="1">
      <c r="B336" s="66"/>
    </row>
    <row r="337" ht="15.75" customHeight="1">
      <c r="B337" s="66"/>
    </row>
    <row r="338" ht="15.75" customHeight="1">
      <c r="B338" s="66"/>
    </row>
    <row r="339" ht="15.75" customHeight="1">
      <c r="B339" s="66"/>
    </row>
    <row r="340" ht="15.75" customHeight="1">
      <c r="B340" s="66"/>
    </row>
    <row r="341" ht="15.75" customHeight="1">
      <c r="B341" s="66"/>
    </row>
    <row r="342" ht="15.75" customHeight="1">
      <c r="B342" s="66"/>
    </row>
    <row r="343" ht="15.75" customHeight="1">
      <c r="B343" s="66"/>
    </row>
    <row r="344" ht="15.75" customHeight="1">
      <c r="B344" s="66"/>
    </row>
    <row r="345" ht="15.75" customHeight="1">
      <c r="B345" s="66"/>
    </row>
    <row r="346" ht="15.75" customHeight="1">
      <c r="B346" s="66"/>
    </row>
    <row r="347" ht="15.75" customHeight="1">
      <c r="B347" s="66"/>
    </row>
    <row r="348" ht="15.75" customHeight="1">
      <c r="B348" s="66"/>
    </row>
    <row r="349" ht="15.75" customHeight="1">
      <c r="B349" s="66"/>
    </row>
    <row r="350" ht="15.75" customHeight="1">
      <c r="B350" s="66"/>
    </row>
    <row r="351" ht="15.75" customHeight="1">
      <c r="B351" s="66"/>
    </row>
    <row r="352" ht="15.75" customHeight="1">
      <c r="B352" s="66"/>
    </row>
    <row r="353" ht="15.75" customHeight="1">
      <c r="B353" s="66"/>
    </row>
    <row r="354" ht="15.75" customHeight="1">
      <c r="B354" s="66"/>
    </row>
    <row r="355" ht="15.75" customHeight="1">
      <c r="B355" s="66"/>
    </row>
    <row r="356" ht="15.75" customHeight="1">
      <c r="B356" s="66"/>
    </row>
    <row r="357" ht="15.75" customHeight="1">
      <c r="B357" s="66"/>
    </row>
    <row r="358" ht="15.75" customHeight="1">
      <c r="B358" s="66"/>
    </row>
    <row r="359" ht="15.75" customHeight="1">
      <c r="B359" s="66"/>
    </row>
    <row r="360" ht="15.75" customHeight="1">
      <c r="B360" s="66"/>
    </row>
    <row r="361" ht="15.75" customHeight="1">
      <c r="B361" s="66"/>
    </row>
    <row r="362" ht="15.75" customHeight="1">
      <c r="B362" s="66"/>
    </row>
    <row r="363" ht="15.75" customHeight="1">
      <c r="B363" s="66"/>
    </row>
    <row r="364" ht="15.75" customHeight="1">
      <c r="B364" s="66"/>
    </row>
    <row r="365" ht="15.75" customHeight="1">
      <c r="B365" s="66"/>
    </row>
    <row r="366" ht="15.75" customHeight="1">
      <c r="B366" s="66"/>
    </row>
    <row r="367" ht="15.75" customHeight="1">
      <c r="B367" s="66"/>
    </row>
    <row r="368" ht="15.75" customHeight="1">
      <c r="B368" s="66"/>
    </row>
    <row r="369" ht="15.75" customHeight="1">
      <c r="B369" s="66"/>
    </row>
    <row r="370" ht="15.75" customHeight="1">
      <c r="B370" s="66"/>
    </row>
    <row r="371" ht="15.75" customHeight="1">
      <c r="B371" s="66"/>
    </row>
    <row r="372" ht="15.75" customHeight="1">
      <c r="B372" s="66"/>
    </row>
    <row r="373" ht="15.75" customHeight="1">
      <c r="B373" s="66"/>
    </row>
    <row r="374" ht="15.75" customHeight="1">
      <c r="B374" s="66"/>
    </row>
    <row r="375" ht="15.75" customHeight="1">
      <c r="B375" s="66"/>
    </row>
    <row r="376" ht="15.75" customHeight="1">
      <c r="B376" s="66"/>
    </row>
    <row r="377" ht="15.75" customHeight="1">
      <c r="B377" s="66"/>
    </row>
    <row r="378" ht="15.75" customHeight="1">
      <c r="B378" s="66"/>
    </row>
    <row r="379" ht="15.75" customHeight="1">
      <c r="B379" s="66"/>
    </row>
    <row r="380" ht="15.75" customHeight="1">
      <c r="B380" s="66"/>
    </row>
    <row r="381" ht="15.75" customHeight="1">
      <c r="B381" s="66"/>
    </row>
    <row r="382" ht="15.75" customHeight="1">
      <c r="B382" s="66"/>
    </row>
    <row r="383" ht="15.75" customHeight="1">
      <c r="B383" s="66"/>
    </row>
    <row r="384" ht="15.75" customHeight="1">
      <c r="B384" s="66"/>
    </row>
    <row r="385" ht="15.75" customHeight="1">
      <c r="B385" s="66"/>
    </row>
    <row r="386" ht="15.75" customHeight="1">
      <c r="B386" s="66"/>
    </row>
    <row r="387" ht="15.75" customHeight="1">
      <c r="B387" s="66"/>
    </row>
    <row r="388" ht="15.75" customHeight="1">
      <c r="B388" s="66"/>
    </row>
    <row r="389" ht="15.75" customHeight="1">
      <c r="B389" s="66"/>
    </row>
    <row r="390" ht="15.75" customHeight="1">
      <c r="B390" s="66"/>
    </row>
    <row r="391" ht="15.75" customHeight="1">
      <c r="B391" s="66"/>
    </row>
    <row r="392" ht="15.75" customHeight="1">
      <c r="B392" s="66"/>
    </row>
    <row r="393" ht="15.75" customHeight="1">
      <c r="B393" s="66"/>
    </row>
    <row r="394" ht="15.75" customHeight="1">
      <c r="B394" s="66"/>
    </row>
    <row r="395" ht="15.75" customHeight="1">
      <c r="B395" s="66"/>
    </row>
    <row r="396" ht="15.75" customHeight="1">
      <c r="B396" s="66"/>
    </row>
    <row r="397" ht="15.75" customHeight="1">
      <c r="B397" s="66"/>
    </row>
    <row r="398" ht="15.75" customHeight="1">
      <c r="B398" s="66"/>
    </row>
    <row r="399" ht="15.75" customHeight="1">
      <c r="B399" s="66"/>
    </row>
    <row r="400" ht="15.75" customHeight="1">
      <c r="B400" s="66"/>
    </row>
    <row r="401" ht="15.75" customHeight="1">
      <c r="B401" s="66"/>
    </row>
    <row r="402" ht="15.75" customHeight="1">
      <c r="B402" s="66"/>
    </row>
    <row r="403" ht="15.75" customHeight="1">
      <c r="B403" s="66"/>
    </row>
    <row r="404" ht="15.75" customHeight="1">
      <c r="B404" s="66"/>
    </row>
    <row r="405" ht="15.75" customHeight="1">
      <c r="B405" s="66"/>
    </row>
    <row r="406" ht="15.75" customHeight="1">
      <c r="B406" s="66"/>
    </row>
    <row r="407" ht="15.75" customHeight="1">
      <c r="B407" s="66"/>
    </row>
    <row r="408" ht="15.75" customHeight="1">
      <c r="B408" s="66"/>
    </row>
    <row r="409" ht="15.75" customHeight="1">
      <c r="B409" s="66"/>
    </row>
    <row r="410" ht="15.75" customHeight="1">
      <c r="B410" s="66"/>
    </row>
    <row r="411" ht="15.75" customHeight="1">
      <c r="B411" s="66"/>
    </row>
    <row r="412" ht="15.75" customHeight="1">
      <c r="B412" s="66"/>
    </row>
    <row r="413" ht="15.75" customHeight="1">
      <c r="B413" s="66"/>
    </row>
    <row r="414" ht="15.75" customHeight="1">
      <c r="B414" s="66"/>
    </row>
    <row r="415" ht="15.75" customHeight="1">
      <c r="B415" s="66"/>
    </row>
    <row r="416" ht="15.75" customHeight="1">
      <c r="B416" s="66"/>
    </row>
    <row r="417" ht="15.75" customHeight="1">
      <c r="B417" s="66"/>
    </row>
    <row r="418" ht="15.75" customHeight="1">
      <c r="B418" s="66"/>
    </row>
    <row r="419" ht="15.75" customHeight="1">
      <c r="B419" s="66"/>
    </row>
    <row r="420" ht="15.75" customHeight="1">
      <c r="B420" s="66"/>
    </row>
    <row r="421" ht="15.75" customHeight="1">
      <c r="B421" s="66"/>
    </row>
    <row r="422" ht="15.75" customHeight="1">
      <c r="B422" s="66"/>
    </row>
    <row r="423" ht="15.75" customHeight="1">
      <c r="B423" s="66"/>
    </row>
    <row r="424" ht="15.75" customHeight="1">
      <c r="B424" s="66"/>
    </row>
    <row r="425" ht="15.75" customHeight="1">
      <c r="B425" s="66"/>
    </row>
    <row r="426" ht="15.75" customHeight="1">
      <c r="B426" s="66"/>
    </row>
    <row r="427" ht="15.75" customHeight="1">
      <c r="B427" s="66"/>
    </row>
    <row r="428" ht="15.75" customHeight="1">
      <c r="B428" s="66"/>
    </row>
    <row r="429" ht="15.75" customHeight="1">
      <c r="B429" s="66"/>
    </row>
    <row r="430" ht="15.75" customHeight="1">
      <c r="B430" s="66"/>
    </row>
    <row r="431" ht="15.75" customHeight="1">
      <c r="B431" s="66"/>
    </row>
    <row r="432" ht="15.75" customHeight="1">
      <c r="B432" s="66"/>
    </row>
    <row r="433" ht="15.75" customHeight="1">
      <c r="B433" s="66"/>
    </row>
    <row r="434" ht="15.75" customHeight="1">
      <c r="B434" s="66"/>
    </row>
    <row r="435" ht="15.75" customHeight="1">
      <c r="B435" s="66"/>
    </row>
    <row r="436" ht="15.75" customHeight="1">
      <c r="B436" s="66"/>
    </row>
    <row r="437" ht="15.75" customHeight="1">
      <c r="B437" s="66"/>
    </row>
    <row r="438" ht="15.75" customHeight="1">
      <c r="B438" s="66"/>
    </row>
    <row r="439" ht="15.75" customHeight="1">
      <c r="B439" s="66"/>
    </row>
    <row r="440" ht="15.75" customHeight="1">
      <c r="B440" s="66"/>
    </row>
    <row r="441" ht="15.75" customHeight="1">
      <c r="B441" s="66"/>
    </row>
    <row r="442" ht="15.75" customHeight="1">
      <c r="B442" s="66"/>
    </row>
    <row r="443" ht="15.75" customHeight="1">
      <c r="B443" s="66"/>
    </row>
    <row r="444" ht="15.75" customHeight="1">
      <c r="B444" s="66"/>
    </row>
    <row r="445" ht="15.75" customHeight="1">
      <c r="B445" s="66"/>
    </row>
    <row r="446" ht="15.75" customHeight="1">
      <c r="B446" s="66"/>
    </row>
    <row r="447" ht="15.75" customHeight="1">
      <c r="B447" s="66"/>
    </row>
    <row r="448" ht="15.75" customHeight="1">
      <c r="B448" s="66"/>
    </row>
    <row r="449" ht="15.75" customHeight="1">
      <c r="B449" s="66"/>
    </row>
    <row r="450" ht="15.75" customHeight="1">
      <c r="B450" s="66"/>
    </row>
    <row r="451" ht="15.75" customHeight="1">
      <c r="B451" s="66"/>
    </row>
    <row r="452" ht="15.75" customHeight="1">
      <c r="B452" s="66"/>
    </row>
    <row r="453" ht="15.75" customHeight="1">
      <c r="B453" s="66"/>
    </row>
    <row r="454" ht="15.75" customHeight="1">
      <c r="B454" s="66"/>
    </row>
    <row r="455" ht="15.75" customHeight="1">
      <c r="B455" s="66"/>
    </row>
    <row r="456" ht="15.75" customHeight="1">
      <c r="B456" s="66"/>
    </row>
    <row r="457" ht="15.75" customHeight="1">
      <c r="B457" s="66"/>
    </row>
    <row r="458" ht="15.75" customHeight="1">
      <c r="B458" s="66"/>
    </row>
    <row r="459" ht="15.75" customHeight="1">
      <c r="B459" s="66"/>
    </row>
    <row r="460" ht="15.75" customHeight="1">
      <c r="B460" s="66"/>
    </row>
    <row r="461" ht="15.75" customHeight="1">
      <c r="B461" s="66"/>
    </row>
    <row r="462" ht="15.75" customHeight="1">
      <c r="B462" s="66"/>
    </row>
    <row r="463" ht="15.75" customHeight="1">
      <c r="B463" s="66"/>
    </row>
    <row r="464" ht="15.75" customHeight="1">
      <c r="B464" s="66"/>
    </row>
    <row r="465" ht="15.75" customHeight="1">
      <c r="B465" s="66"/>
    </row>
    <row r="466" ht="15.75" customHeight="1">
      <c r="B466" s="66"/>
    </row>
    <row r="467" ht="15.75" customHeight="1">
      <c r="B467" s="66"/>
    </row>
    <row r="468" ht="15.75" customHeight="1">
      <c r="B468" s="66"/>
    </row>
    <row r="469" ht="15.75" customHeight="1">
      <c r="B469" s="66"/>
    </row>
    <row r="470" ht="15.75" customHeight="1">
      <c r="B470" s="66"/>
    </row>
    <row r="471" ht="15.75" customHeight="1">
      <c r="B471" s="66"/>
    </row>
    <row r="472" ht="15.75" customHeight="1">
      <c r="B472" s="66"/>
    </row>
    <row r="473" ht="15.75" customHeight="1">
      <c r="B473" s="66"/>
    </row>
    <row r="474" ht="15.75" customHeight="1">
      <c r="B474" s="66"/>
    </row>
    <row r="475" ht="15.75" customHeight="1">
      <c r="B475" s="66"/>
    </row>
    <row r="476" ht="15.75" customHeight="1">
      <c r="B476" s="66"/>
    </row>
    <row r="477" ht="15.75" customHeight="1">
      <c r="B477" s="66"/>
    </row>
    <row r="478" ht="15.75" customHeight="1">
      <c r="B478" s="66"/>
    </row>
    <row r="479" ht="15.75" customHeight="1">
      <c r="B479" s="66"/>
    </row>
    <row r="480" ht="15.75" customHeight="1">
      <c r="B480" s="66"/>
    </row>
    <row r="481" ht="15.75" customHeight="1">
      <c r="B481" s="66"/>
    </row>
    <row r="482" ht="15.75" customHeight="1">
      <c r="B482" s="66"/>
    </row>
    <row r="483" ht="15.75" customHeight="1">
      <c r="B483" s="66"/>
    </row>
    <row r="484" ht="15.75" customHeight="1">
      <c r="B484" s="66"/>
    </row>
    <row r="485" ht="15.75" customHeight="1">
      <c r="B485" s="66"/>
    </row>
    <row r="486" ht="15.75" customHeight="1">
      <c r="B486" s="66"/>
    </row>
    <row r="487" ht="15.75" customHeight="1">
      <c r="B487" s="66"/>
    </row>
    <row r="488" ht="15.75" customHeight="1">
      <c r="B488" s="66"/>
    </row>
    <row r="489" ht="15.75" customHeight="1">
      <c r="B489" s="66"/>
    </row>
    <row r="490" ht="15.75" customHeight="1">
      <c r="B490" s="66"/>
    </row>
    <row r="491" ht="15.75" customHeight="1">
      <c r="B491" s="66"/>
    </row>
    <row r="492" ht="15.75" customHeight="1">
      <c r="B492" s="66"/>
    </row>
    <row r="493" ht="15.75" customHeight="1">
      <c r="B493" s="66"/>
    </row>
    <row r="494" ht="15.75" customHeight="1">
      <c r="B494" s="66"/>
    </row>
    <row r="495" ht="15.75" customHeight="1">
      <c r="B495" s="66"/>
    </row>
    <row r="496" ht="15.75" customHeight="1">
      <c r="B496" s="66"/>
    </row>
    <row r="497" ht="15.75" customHeight="1">
      <c r="B497" s="66"/>
    </row>
    <row r="498" ht="15.75" customHeight="1">
      <c r="B498" s="66"/>
    </row>
    <row r="499" ht="15.75" customHeight="1">
      <c r="B499" s="66"/>
    </row>
    <row r="500" ht="15.75" customHeight="1">
      <c r="B500" s="66"/>
    </row>
    <row r="501" ht="15.75" customHeight="1">
      <c r="B501" s="66"/>
    </row>
    <row r="502" ht="15.75" customHeight="1">
      <c r="B502" s="66"/>
    </row>
    <row r="503" ht="15.75" customHeight="1">
      <c r="B503" s="66"/>
    </row>
    <row r="504" ht="15.75" customHeight="1">
      <c r="B504" s="66"/>
    </row>
    <row r="505" ht="15.75" customHeight="1">
      <c r="B505" s="66"/>
    </row>
    <row r="506" ht="15.75" customHeight="1">
      <c r="B506" s="66"/>
    </row>
    <row r="507" ht="15.75" customHeight="1">
      <c r="B507" s="66"/>
    </row>
    <row r="508" ht="15.75" customHeight="1">
      <c r="B508" s="66"/>
    </row>
    <row r="509" ht="15.75" customHeight="1">
      <c r="B509" s="66"/>
    </row>
    <row r="510" ht="15.75" customHeight="1">
      <c r="B510" s="66"/>
    </row>
    <row r="511" ht="15.75" customHeight="1">
      <c r="B511" s="66"/>
    </row>
    <row r="512" ht="15.75" customHeight="1">
      <c r="B512" s="66"/>
    </row>
    <row r="513" ht="15.75" customHeight="1">
      <c r="B513" s="66"/>
    </row>
    <row r="514" ht="15.75" customHeight="1">
      <c r="B514" s="66"/>
    </row>
    <row r="515" ht="15.75" customHeight="1">
      <c r="B515" s="66"/>
    </row>
    <row r="516" ht="15.75" customHeight="1">
      <c r="B516" s="66"/>
    </row>
    <row r="517" ht="15.75" customHeight="1">
      <c r="B517" s="66"/>
    </row>
    <row r="518" ht="15.75" customHeight="1">
      <c r="B518" s="66"/>
    </row>
    <row r="519" ht="15.75" customHeight="1">
      <c r="B519" s="66"/>
    </row>
    <row r="520" ht="15.75" customHeight="1">
      <c r="B520" s="66"/>
    </row>
    <row r="521" ht="15.75" customHeight="1">
      <c r="B521" s="66"/>
    </row>
    <row r="522" ht="15.75" customHeight="1">
      <c r="B522" s="66"/>
    </row>
    <row r="523" ht="15.75" customHeight="1">
      <c r="B523" s="66"/>
    </row>
    <row r="524" ht="15.75" customHeight="1">
      <c r="B524" s="66"/>
    </row>
    <row r="525" ht="15.75" customHeight="1">
      <c r="B525" s="66"/>
    </row>
    <row r="526" ht="15.75" customHeight="1">
      <c r="B526" s="66"/>
    </row>
    <row r="527" ht="15.75" customHeight="1">
      <c r="B527" s="66"/>
    </row>
    <row r="528" ht="15.75" customHeight="1">
      <c r="B528" s="66"/>
    </row>
    <row r="529" ht="15.75" customHeight="1">
      <c r="B529" s="66"/>
    </row>
    <row r="530" ht="15.75" customHeight="1">
      <c r="B530" s="66"/>
    </row>
    <row r="531" ht="15.75" customHeight="1">
      <c r="B531" s="66"/>
    </row>
    <row r="532" ht="15.75" customHeight="1">
      <c r="B532" s="66"/>
    </row>
    <row r="533" ht="15.75" customHeight="1">
      <c r="B533" s="66"/>
    </row>
    <row r="534" ht="15.75" customHeight="1">
      <c r="B534" s="66"/>
    </row>
    <row r="535" ht="15.75" customHeight="1">
      <c r="B535" s="66"/>
    </row>
    <row r="536" ht="15.75" customHeight="1">
      <c r="B536" s="66"/>
    </row>
    <row r="537" ht="15.75" customHeight="1">
      <c r="B537" s="66"/>
    </row>
    <row r="538" ht="15.75" customHeight="1">
      <c r="B538" s="66"/>
    </row>
    <row r="539" ht="15.75" customHeight="1">
      <c r="B539" s="66"/>
    </row>
    <row r="540" ht="15.75" customHeight="1">
      <c r="B540" s="66"/>
    </row>
    <row r="541" ht="15.75" customHeight="1">
      <c r="B541" s="66"/>
    </row>
    <row r="542" ht="15.75" customHeight="1">
      <c r="B542" s="66"/>
    </row>
    <row r="543" ht="15.75" customHeight="1">
      <c r="B543" s="66"/>
    </row>
    <row r="544" ht="15.75" customHeight="1">
      <c r="B544" s="66"/>
    </row>
    <row r="545" ht="15.75" customHeight="1">
      <c r="B545" s="66"/>
    </row>
    <row r="546" ht="15.75" customHeight="1">
      <c r="B546" s="66"/>
    </row>
    <row r="547" ht="15.75" customHeight="1">
      <c r="B547" s="66"/>
    </row>
    <row r="548" ht="15.75" customHeight="1">
      <c r="B548" s="66"/>
    </row>
    <row r="549" ht="15.75" customHeight="1">
      <c r="B549" s="66"/>
    </row>
    <row r="550" ht="15.75" customHeight="1">
      <c r="B550" s="66"/>
    </row>
    <row r="551" ht="15.75" customHeight="1">
      <c r="B551" s="66"/>
    </row>
    <row r="552" ht="15.75" customHeight="1">
      <c r="B552" s="66"/>
    </row>
    <row r="553" ht="15.75" customHeight="1">
      <c r="B553" s="66"/>
    </row>
    <row r="554" ht="15.75" customHeight="1">
      <c r="B554" s="66"/>
    </row>
    <row r="555" ht="15.75" customHeight="1">
      <c r="B555" s="66"/>
    </row>
    <row r="556" ht="15.75" customHeight="1">
      <c r="B556" s="66"/>
    </row>
    <row r="557" ht="15.75" customHeight="1">
      <c r="B557" s="66"/>
    </row>
    <row r="558" ht="15.75" customHeight="1">
      <c r="B558" s="66"/>
    </row>
    <row r="559" ht="15.75" customHeight="1">
      <c r="B559" s="66"/>
    </row>
    <row r="560" ht="15.75" customHeight="1">
      <c r="B560" s="66"/>
    </row>
    <row r="561" ht="15.75" customHeight="1">
      <c r="B561" s="66"/>
    </row>
    <row r="562" ht="15.75" customHeight="1">
      <c r="B562" s="66"/>
    </row>
    <row r="563" ht="15.75" customHeight="1">
      <c r="B563" s="66"/>
    </row>
    <row r="564" ht="15.75" customHeight="1">
      <c r="B564" s="66"/>
    </row>
    <row r="565" ht="15.75" customHeight="1">
      <c r="B565" s="66"/>
    </row>
    <row r="566" ht="15.75" customHeight="1">
      <c r="B566" s="66"/>
    </row>
    <row r="567" ht="15.75" customHeight="1">
      <c r="B567" s="66"/>
    </row>
    <row r="568" ht="15.75" customHeight="1">
      <c r="B568" s="66"/>
    </row>
    <row r="569" ht="15.75" customHeight="1">
      <c r="B569" s="66"/>
    </row>
    <row r="570" ht="15.75" customHeight="1">
      <c r="B570" s="66"/>
    </row>
    <row r="571" ht="15.75" customHeight="1">
      <c r="B571" s="66"/>
    </row>
    <row r="572" ht="15.75" customHeight="1">
      <c r="B572" s="66"/>
    </row>
    <row r="573" ht="15.75" customHeight="1">
      <c r="B573" s="66"/>
    </row>
    <row r="574" ht="15.75" customHeight="1">
      <c r="B574" s="66"/>
    </row>
    <row r="575" ht="15.75" customHeight="1">
      <c r="B575" s="66"/>
    </row>
    <row r="576" ht="15.75" customHeight="1">
      <c r="B576" s="66"/>
    </row>
    <row r="577" ht="15.75" customHeight="1">
      <c r="B577" s="66"/>
    </row>
    <row r="578" ht="15.75" customHeight="1">
      <c r="B578" s="66"/>
    </row>
    <row r="579" ht="15.75" customHeight="1">
      <c r="B579" s="66"/>
    </row>
    <row r="580" ht="15.75" customHeight="1">
      <c r="B580" s="66"/>
    </row>
    <row r="581" ht="15.75" customHeight="1">
      <c r="B581" s="66"/>
    </row>
    <row r="582" ht="15.75" customHeight="1">
      <c r="B582" s="66"/>
    </row>
    <row r="583" ht="15.75" customHeight="1">
      <c r="B583" s="66"/>
    </row>
    <row r="584" ht="15.75" customHeight="1">
      <c r="B584" s="66"/>
    </row>
    <row r="585" ht="15.75" customHeight="1">
      <c r="B585" s="66"/>
    </row>
    <row r="586" ht="15.75" customHeight="1">
      <c r="B586" s="66"/>
    </row>
    <row r="587" ht="15.75" customHeight="1">
      <c r="B587" s="66"/>
    </row>
    <row r="588" ht="15.75" customHeight="1">
      <c r="B588" s="66"/>
    </row>
    <row r="589" ht="15.75" customHeight="1">
      <c r="B589" s="66"/>
    </row>
    <row r="590" ht="15.75" customHeight="1">
      <c r="B590" s="66"/>
    </row>
    <row r="591" ht="15.75" customHeight="1">
      <c r="B591" s="66"/>
    </row>
    <row r="592" ht="15.75" customHeight="1">
      <c r="B592" s="66"/>
    </row>
    <row r="593" ht="15.75" customHeight="1">
      <c r="B593" s="66"/>
    </row>
    <row r="594" ht="15.75" customHeight="1">
      <c r="B594" s="66"/>
    </row>
    <row r="595" ht="15.75" customHeight="1">
      <c r="B595" s="66"/>
    </row>
    <row r="596" ht="15.75" customHeight="1">
      <c r="B596" s="66"/>
    </row>
    <row r="597" ht="15.75" customHeight="1">
      <c r="B597" s="66"/>
    </row>
    <row r="598" ht="15.75" customHeight="1">
      <c r="B598" s="66"/>
    </row>
    <row r="599" ht="15.75" customHeight="1">
      <c r="B599" s="66"/>
    </row>
    <row r="600" ht="15.75" customHeight="1">
      <c r="B600" s="66"/>
    </row>
    <row r="601" ht="15.75" customHeight="1">
      <c r="B601" s="66"/>
    </row>
    <row r="602" ht="15.75" customHeight="1">
      <c r="B602" s="66"/>
    </row>
    <row r="603" ht="15.75" customHeight="1">
      <c r="B603" s="66"/>
    </row>
    <row r="604" ht="15.75" customHeight="1">
      <c r="B604" s="66"/>
    </row>
    <row r="605" ht="15.75" customHeight="1">
      <c r="B605" s="66"/>
    </row>
    <row r="606" ht="15.75" customHeight="1">
      <c r="B606" s="66"/>
    </row>
    <row r="607" ht="15.75" customHeight="1">
      <c r="B607" s="66"/>
    </row>
    <row r="608" ht="15.75" customHeight="1">
      <c r="B608" s="66"/>
    </row>
    <row r="609" ht="15.75" customHeight="1">
      <c r="B609" s="66"/>
    </row>
    <row r="610" ht="15.75" customHeight="1">
      <c r="B610" s="66"/>
    </row>
    <row r="611" ht="15.75" customHeight="1">
      <c r="B611" s="66"/>
    </row>
    <row r="612" ht="15.75" customHeight="1">
      <c r="B612" s="66"/>
    </row>
    <row r="613" ht="15.75" customHeight="1">
      <c r="B613" s="66"/>
    </row>
    <row r="614" ht="15.75" customHeight="1">
      <c r="B614" s="66"/>
    </row>
    <row r="615" ht="15.75" customHeight="1">
      <c r="B615" s="66"/>
    </row>
    <row r="616" ht="15.75" customHeight="1">
      <c r="B616" s="66"/>
    </row>
    <row r="617" ht="15.75" customHeight="1">
      <c r="B617" s="66"/>
    </row>
    <row r="618" ht="15.75" customHeight="1">
      <c r="B618" s="66"/>
    </row>
    <row r="619" ht="15.75" customHeight="1">
      <c r="B619" s="66"/>
    </row>
    <row r="620" ht="15.75" customHeight="1">
      <c r="B620" s="66"/>
    </row>
    <row r="621" ht="15.75" customHeight="1">
      <c r="B621" s="66"/>
    </row>
    <row r="622" ht="15.75" customHeight="1">
      <c r="B622" s="66"/>
    </row>
    <row r="623" ht="15.75" customHeight="1">
      <c r="B623" s="66"/>
    </row>
    <row r="624" ht="15.75" customHeight="1">
      <c r="B624" s="66"/>
    </row>
    <row r="625" ht="15.75" customHeight="1">
      <c r="B625" s="66"/>
    </row>
    <row r="626" ht="15.75" customHeight="1">
      <c r="B626" s="66"/>
    </row>
    <row r="627" ht="15.75" customHeight="1">
      <c r="B627" s="66"/>
    </row>
    <row r="628" ht="15.75" customHeight="1">
      <c r="B628" s="66"/>
    </row>
    <row r="629" ht="15.75" customHeight="1">
      <c r="B629" s="66"/>
    </row>
    <row r="630" ht="15.75" customHeight="1">
      <c r="B630" s="66"/>
    </row>
    <row r="631" ht="15.75" customHeight="1">
      <c r="B631" s="66"/>
    </row>
    <row r="632" ht="15.75" customHeight="1">
      <c r="B632" s="66"/>
    </row>
    <row r="633" ht="15.75" customHeight="1">
      <c r="B633" s="66"/>
    </row>
    <row r="634" ht="15.75" customHeight="1">
      <c r="B634" s="66"/>
    </row>
    <row r="635" ht="15.75" customHeight="1">
      <c r="B635" s="66"/>
    </row>
    <row r="636" ht="15.75" customHeight="1">
      <c r="B636" s="66"/>
    </row>
    <row r="637" ht="15.75" customHeight="1">
      <c r="B637" s="66"/>
    </row>
    <row r="638" ht="15.75" customHeight="1">
      <c r="B638" s="66"/>
    </row>
    <row r="639" ht="15.75" customHeight="1">
      <c r="B639" s="66"/>
    </row>
    <row r="640" ht="15.75" customHeight="1">
      <c r="B640" s="66"/>
    </row>
    <row r="641" ht="15.75" customHeight="1">
      <c r="B641" s="66"/>
    </row>
    <row r="642" ht="15.75" customHeight="1">
      <c r="B642" s="66"/>
    </row>
    <row r="643" ht="15.75" customHeight="1">
      <c r="B643" s="66"/>
    </row>
    <row r="644" ht="15.75" customHeight="1">
      <c r="B644" s="66"/>
    </row>
    <row r="645" ht="15.75" customHeight="1">
      <c r="B645" s="66"/>
    </row>
    <row r="646" ht="15.75" customHeight="1">
      <c r="B646" s="66"/>
    </row>
    <row r="647" ht="15.75" customHeight="1">
      <c r="B647" s="66"/>
    </row>
    <row r="648" ht="15.75" customHeight="1">
      <c r="B648" s="66"/>
    </row>
    <row r="649" ht="15.75" customHeight="1">
      <c r="B649" s="66"/>
    </row>
    <row r="650" ht="15.75" customHeight="1">
      <c r="B650" s="66"/>
    </row>
    <row r="651" ht="15.75" customHeight="1">
      <c r="B651" s="66"/>
    </row>
    <row r="652" ht="15.75" customHeight="1">
      <c r="B652" s="66"/>
    </row>
    <row r="653" ht="15.75" customHeight="1">
      <c r="B653" s="66"/>
    </row>
    <row r="654" ht="15.75" customHeight="1">
      <c r="B654" s="66"/>
    </row>
    <row r="655" ht="15.75" customHeight="1">
      <c r="B655" s="66"/>
    </row>
    <row r="656" ht="15.75" customHeight="1">
      <c r="B656" s="66"/>
    </row>
    <row r="657" ht="15.75" customHeight="1">
      <c r="B657" s="66"/>
    </row>
    <row r="658" ht="15.75" customHeight="1">
      <c r="B658" s="66"/>
    </row>
    <row r="659" ht="15.75" customHeight="1">
      <c r="B659" s="66"/>
    </row>
    <row r="660" ht="15.75" customHeight="1">
      <c r="B660" s="66"/>
    </row>
    <row r="661" ht="15.75" customHeight="1">
      <c r="B661" s="66"/>
    </row>
    <row r="662" ht="15.75" customHeight="1">
      <c r="B662" s="66"/>
    </row>
    <row r="663" ht="15.75" customHeight="1">
      <c r="B663" s="66"/>
    </row>
    <row r="664" ht="15.75" customHeight="1">
      <c r="B664" s="66"/>
    </row>
    <row r="665" ht="15.75" customHeight="1">
      <c r="B665" s="66"/>
    </row>
    <row r="666" ht="15.75" customHeight="1">
      <c r="B666" s="66"/>
    </row>
    <row r="667" ht="15.75" customHeight="1">
      <c r="B667" s="66"/>
    </row>
    <row r="668" ht="15.75" customHeight="1">
      <c r="B668" s="66"/>
    </row>
    <row r="669" ht="15.75" customHeight="1">
      <c r="B669" s="66"/>
    </row>
    <row r="670" ht="15.75" customHeight="1">
      <c r="B670" s="66"/>
    </row>
    <row r="671" ht="15.75" customHeight="1">
      <c r="B671" s="66"/>
    </row>
    <row r="672" ht="15.75" customHeight="1">
      <c r="B672" s="66"/>
    </row>
    <row r="673" ht="15.75" customHeight="1">
      <c r="B673" s="66"/>
    </row>
    <row r="674" ht="15.75" customHeight="1">
      <c r="B674" s="66"/>
    </row>
    <row r="675" ht="15.75" customHeight="1">
      <c r="B675" s="66"/>
    </row>
    <row r="676" ht="15.75" customHeight="1">
      <c r="B676" s="66"/>
    </row>
    <row r="677" ht="15.75" customHeight="1">
      <c r="B677" s="66"/>
    </row>
    <row r="678" ht="15.75" customHeight="1">
      <c r="B678" s="66"/>
    </row>
    <row r="679" ht="15.75" customHeight="1">
      <c r="B679" s="66"/>
    </row>
    <row r="680" ht="15.75" customHeight="1">
      <c r="B680" s="66"/>
    </row>
    <row r="681" ht="15.75" customHeight="1">
      <c r="B681" s="66"/>
    </row>
    <row r="682" ht="15.75" customHeight="1">
      <c r="B682" s="66"/>
    </row>
    <row r="683" ht="15.75" customHeight="1">
      <c r="B683" s="66"/>
    </row>
    <row r="684" ht="15.75" customHeight="1">
      <c r="B684" s="66"/>
    </row>
    <row r="685" ht="15.75" customHeight="1">
      <c r="B685" s="66"/>
    </row>
    <row r="686" ht="15.75" customHeight="1">
      <c r="B686" s="66"/>
    </row>
    <row r="687" ht="15.75" customHeight="1">
      <c r="B687" s="66"/>
    </row>
    <row r="688" ht="15.75" customHeight="1">
      <c r="B688" s="66"/>
    </row>
    <row r="689" ht="15.75" customHeight="1">
      <c r="B689" s="66"/>
    </row>
    <row r="690" ht="15.75" customHeight="1">
      <c r="B690" s="66"/>
    </row>
    <row r="691" ht="15.75" customHeight="1">
      <c r="B691" s="66"/>
    </row>
    <row r="692" ht="15.75" customHeight="1">
      <c r="B692" s="66"/>
    </row>
    <row r="693" ht="15.75" customHeight="1">
      <c r="B693" s="66"/>
    </row>
    <row r="694" ht="15.75" customHeight="1">
      <c r="B694" s="66"/>
    </row>
    <row r="695" ht="15.75" customHeight="1">
      <c r="B695" s="66"/>
    </row>
    <row r="696" ht="15.75" customHeight="1">
      <c r="B696" s="66"/>
    </row>
    <row r="697" ht="15.75" customHeight="1">
      <c r="B697" s="66"/>
    </row>
    <row r="698" ht="15.75" customHeight="1">
      <c r="B698" s="66"/>
    </row>
    <row r="699" ht="15.75" customHeight="1">
      <c r="B699" s="66"/>
    </row>
    <row r="700" ht="15.75" customHeight="1">
      <c r="B700" s="66"/>
    </row>
    <row r="701" ht="15.75" customHeight="1">
      <c r="B701" s="66"/>
    </row>
    <row r="702" ht="15.75" customHeight="1">
      <c r="B702" s="66"/>
    </row>
    <row r="703" ht="15.75" customHeight="1">
      <c r="B703" s="66"/>
    </row>
    <row r="704" ht="15.75" customHeight="1">
      <c r="B704" s="66"/>
    </row>
    <row r="705" ht="15.75" customHeight="1">
      <c r="B705" s="66"/>
    </row>
    <row r="706" ht="15.75" customHeight="1">
      <c r="B706" s="66"/>
    </row>
    <row r="707" ht="15.75" customHeight="1">
      <c r="B707" s="66"/>
    </row>
    <row r="708" ht="15.75" customHeight="1">
      <c r="B708" s="66"/>
    </row>
    <row r="709" ht="15.75" customHeight="1">
      <c r="B709" s="66"/>
    </row>
    <row r="710" ht="15.75" customHeight="1">
      <c r="B710" s="66"/>
    </row>
    <row r="711" ht="15.75" customHeight="1">
      <c r="B711" s="66"/>
    </row>
    <row r="712" ht="15.75" customHeight="1">
      <c r="B712" s="66"/>
    </row>
    <row r="713" ht="15.75" customHeight="1">
      <c r="B713" s="66"/>
    </row>
    <row r="714" ht="15.75" customHeight="1">
      <c r="B714" s="66"/>
    </row>
    <row r="715" ht="15.75" customHeight="1">
      <c r="B715" s="66"/>
    </row>
    <row r="716" ht="15.75" customHeight="1">
      <c r="B716" s="66"/>
    </row>
    <row r="717" ht="15.75" customHeight="1">
      <c r="B717" s="66"/>
    </row>
    <row r="718" ht="15.75" customHeight="1">
      <c r="B718" s="66"/>
    </row>
    <row r="719" ht="15.75" customHeight="1">
      <c r="B719" s="66"/>
    </row>
    <row r="720" ht="15.75" customHeight="1">
      <c r="B720" s="66"/>
    </row>
    <row r="721" ht="15.75" customHeight="1">
      <c r="B721" s="66"/>
    </row>
    <row r="722" ht="15.75" customHeight="1">
      <c r="B722" s="66"/>
    </row>
    <row r="723" ht="15.75" customHeight="1">
      <c r="B723" s="66"/>
    </row>
    <row r="724" ht="15.75" customHeight="1">
      <c r="B724" s="66"/>
    </row>
    <row r="725" ht="15.75" customHeight="1">
      <c r="B725" s="66"/>
    </row>
    <row r="726" ht="15.75" customHeight="1">
      <c r="B726" s="66"/>
    </row>
    <row r="727" ht="15.75" customHeight="1">
      <c r="B727" s="66"/>
    </row>
    <row r="728" ht="15.75" customHeight="1">
      <c r="B728" s="66"/>
    </row>
    <row r="729" ht="15.75" customHeight="1">
      <c r="B729" s="66"/>
    </row>
    <row r="730" ht="15.75" customHeight="1">
      <c r="B730" s="66"/>
    </row>
    <row r="731" ht="15.75" customHeight="1">
      <c r="B731" s="66"/>
    </row>
    <row r="732" ht="15.75" customHeight="1">
      <c r="B732" s="66"/>
    </row>
    <row r="733" ht="15.75" customHeight="1">
      <c r="B733" s="66"/>
    </row>
    <row r="734" ht="15.75" customHeight="1">
      <c r="B734" s="66"/>
    </row>
    <row r="735" ht="15.75" customHeight="1">
      <c r="B735" s="66"/>
    </row>
    <row r="736" ht="15.75" customHeight="1">
      <c r="B736" s="66"/>
    </row>
    <row r="737" ht="15.75" customHeight="1">
      <c r="B737" s="66"/>
    </row>
    <row r="738" ht="15.75" customHeight="1">
      <c r="B738" s="66"/>
    </row>
    <row r="739" ht="15.75" customHeight="1">
      <c r="B739" s="66"/>
    </row>
    <row r="740" ht="15.75" customHeight="1">
      <c r="B740" s="66"/>
    </row>
    <row r="741" ht="15.75" customHeight="1">
      <c r="B741" s="66"/>
    </row>
    <row r="742" ht="15.75" customHeight="1">
      <c r="B742" s="66"/>
    </row>
    <row r="743" ht="15.75" customHeight="1">
      <c r="B743" s="66"/>
    </row>
    <row r="744" ht="15.75" customHeight="1">
      <c r="B744" s="66"/>
    </row>
    <row r="745" ht="15.75" customHeight="1">
      <c r="B745" s="66"/>
    </row>
    <row r="746" ht="15.75" customHeight="1">
      <c r="B746" s="66"/>
    </row>
    <row r="747" ht="15.75" customHeight="1">
      <c r="B747" s="66"/>
    </row>
    <row r="748" ht="15.75" customHeight="1">
      <c r="B748" s="66"/>
    </row>
    <row r="749" ht="15.75" customHeight="1">
      <c r="B749" s="66"/>
    </row>
    <row r="750" ht="15.75" customHeight="1">
      <c r="B750" s="66"/>
    </row>
    <row r="751" ht="15.75" customHeight="1">
      <c r="B751" s="66"/>
    </row>
    <row r="752" ht="15.75" customHeight="1">
      <c r="B752" s="66"/>
    </row>
    <row r="753" ht="15.75" customHeight="1">
      <c r="B753" s="66"/>
    </row>
    <row r="754" ht="15.75" customHeight="1">
      <c r="B754" s="66"/>
    </row>
    <row r="755" ht="15.75" customHeight="1">
      <c r="B755" s="66"/>
    </row>
    <row r="756" ht="15.75" customHeight="1">
      <c r="B756" s="66"/>
    </row>
    <row r="757" ht="15.75" customHeight="1">
      <c r="B757" s="66"/>
    </row>
    <row r="758" ht="15.75" customHeight="1">
      <c r="B758" s="66"/>
    </row>
    <row r="759" ht="15.75" customHeight="1">
      <c r="B759" s="66"/>
    </row>
    <row r="760" ht="15.75" customHeight="1">
      <c r="B760" s="66"/>
    </row>
    <row r="761" ht="15.75" customHeight="1">
      <c r="B761" s="66"/>
    </row>
    <row r="762" ht="15.75" customHeight="1">
      <c r="B762" s="66"/>
    </row>
    <row r="763" ht="15.75" customHeight="1">
      <c r="B763" s="66"/>
    </row>
    <row r="764" ht="15.75" customHeight="1">
      <c r="B764" s="66"/>
    </row>
    <row r="765" ht="15.75" customHeight="1">
      <c r="B765" s="66"/>
    </row>
    <row r="766" ht="15.75" customHeight="1">
      <c r="B766" s="66"/>
    </row>
    <row r="767" ht="15.75" customHeight="1">
      <c r="B767" s="66"/>
    </row>
    <row r="768" ht="15.75" customHeight="1">
      <c r="B768" s="66"/>
    </row>
    <row r="769" ht="15.75" customHeight="1">
      <c r="B769" s="66"/>
    </row>
    <row r="770" ht="15.75" customHeight="1">
      <c r="B770" s="66"/>
    </row>
    <row r="771" ht="15.75" customHeight="1">
      <c r="B771" s="66"/>
    </row>
    <row r="772" ht="15.75" customHeight="1">
      <c r="B772" s="66"/>
    </row>
    <row r="773" ht="15.75" customHeight="1">
      <c r="B773" s="66"/>
    </row>
    <row r="774" ht="15.75" customHeight="1">
      <c r="B774" s="66"/>
    </row>
    <row r="775" ht="15.75" customHeight="1">
      <c r="B775" s="66"/>
    </row>
    <row r="776" ht="15.75" customHeight="1">
      <c r="B776" s="66"/>
    </row>
    <row r="777" ht="15.75" customHeight="1">
      <c r="B777" s="66"/>
    </row>
    <row r="778" ht="15.75" customHeight="1">
      <c r="B778" s="66"/>
    </row>
    <row r="779" ht="15.75" customHeight="1">
      <c r="B779" s="66"/>
    </row>
    <row r="780" ht="15.75" customHeight="1">
      <c r="B780" s="66"/>
    </row>
    <row r="781" ht="15.75" customHeight="1">
      <c r="B781" s="66"/>
    </row>
    <row r="782" ht="15.75" customHeight="1">
      <c r="B782" s="66"/>
    </row>
    <row r="783" ht="15.75" customHeight="1">
      <c r="B783" s="66"/>
    </row>
    <row r="784" ht="15.75" customHeight="1">
      <c r="B784" s="66"/>
    </row>
    <row r="785" ht="15.75" customHeight="1">
      <c r="B785" s="66"/>
    </row>
    <row r="786" ht="15.75" customHeight="1">
      <c r="B786" s="66"/>
    </row>
    <row r="787" ht="15.75" customHeight="1">
      <c r="B787" s="66"/>
    </row>
    <row r="788" ht="15.75" customHeight="1">
      <c r="B788" s="66"/>
    </row>
    <row r="789" ht="15.75" customHeight="1">
      <c r="B789" s="66"/>
    </row>
    <row r="790" ht="15.75" customHeight="1">
      <c r="B790" s="66"/>
    </row>
    <row r="791" ht="15.75" customHeight="1">
      <c r="B791" s="66"/>
    </row>
    <row r="792" ht="15.75" customHeight="1">
      <c r="B792" s="66"/>
    </row>
    <row r="793" ht="15.75" customHeight="1">
      <c r="B793" s="66"/>
    </row>
    <row r="794" ht="15.75" customHeight="1">
      <c r="B794" s="66"/>
    </row>
    <row r="795" ht="15.75" customHeight="1">
      <c r="B795" s="66"/>
    </row>
    <row r="796" ht="15.75" customHeight="1">
      <c r="B796" s="66"/>
    </row>
    <row r="797" ht="15.75" customHeight="1">
      <c r="B797" s="66"/>
    </row>
    <row r="798" ht="15.75" customHeight="1">
      <c r="B798" s="66"/>
    </row>
    <row r="799" ht="15.75" customHeight="1">
      <c r="B799" s="66"/>
    </row>
    <row r="800" ht="15.75" customHeight="1">
      <c r="B800" s="66"/>
    </row>
    <row r="801" ht="15.75" customHeight="1">
      <c r="B801" s="66"/>
    </row>
    <row r="802" ht="15.75" customHeight="1">
      <c r="B802" s="66"/>
    </row>
    <row r="803" ht="15.75" customHeight="1">
      <c r="B803" s="66"/>
    </row>
    <row r="804" ht="15.75" customHeight="1">
      <c r="B804" s="66"/>
    </row>
    <row r="805" ht="15.75" customHeight="1">
      <c r="B805" s="66"/>
    </row>
    <row r="806" ht="15.75" customHeight="1">
      <c r="B806" s="66"/>
    </row>
    <row r="807" ht="15.75" customHeight="1">
      <c r="B807" s="66"/>
    </row>
    <row r="808" ht="15.75" customHeight="1">
      <c r="B808" s="66"/>
    </row>
    <row r="809" ht="15.75" customHeight="1">
      <c r="B809" s="66"/>
    </row>
    <row r="810" ht="15.75" customHeight="1">
      <c r="B810" s="66"/>
    </row>
    <row r="811" ht="15.75" customHeight="1">
      <c r="B811" s="66"/>
    </row>
    <row r="812" ht="15.75" customHeight="1">
      <c r="B812" s="66"/>
    </row>
    <row r="813" ht="15.75" customHeight="1">
      <c r="B813" s="66"/>
    </row>
    <row r="814" ht="15.75" customHeight="1">
      <c r="B814" s="66"/>
    </row>
    <row r="815" ht="15.75" customHeight="1">
      <c r="B815" s="66"/>
    </row>
    <row r="816" ht="15.75" customHeight="1">
      <c r="B816" s="66"/>
    </row>
    <row r="817" ht="15.75" customHeight="1">
      <c r="B817" s="66"/>
    </row>
    <row r="818" ht="15.75" customHeight="1">
      <c r="B818" s="66"/>
    </row>
    <row r="819" ht="15.75" customHeight="1">
      <c r="B819" s="66"/>
    </row>
    <row r="820" ht="15.75" customHeight="1">
      <c r="B820" s="66"/>
    </row>
    <row r="821" ht="15.75" customHeight="1">
      <c r="B821" s="66"/>
    </row>
    <row r="822" ht="15.75" customHeight="1">
      <c r="B822" s="66"/>
    </row>
    <row r="823" ht="15.75" customHeight="1">
      <c r="B823" s="66"/>
    </row>
    <row r="824" ht="15.75" customHeight="1">
      <c r="B824" s="66"/>
    </row>
    <row r="825" ht="15.75" customHeight="1">
      <c r="B825" s="66"/>
    </row>
    <row r="826" ht="15.75" customHeight="1">
      <c r="B826" s="66"/>
    </row>
    <row r="827" ht="15.75" customHeight="1">
      <c r="B827" s="66"/>
    </row>
    <row r="828" ht="15.75" customHeight="1">
      <c r="B828" s="66"/>
    </row>
    <row r="829" ht="15.75" customHeight="1">
      <c r="B829" s="66"/>
    </row>
    <row r="830" ht="15.75" customHeight="1">
      <c r="B830" s="66"/>
    </row>
    <row r="831" ht="15.75" customHeight="1">
      <c r="B831" s="66"/>
    </row>
    <row r="832" ht="15.75" customHeight="1">
      <c r="B832" s="66"/>
    </row>
    <row r="833" ht="15.75" customHeight="1">
      <c r="B833" s="66"/>
    </row>
    <row r="834" ht="15.75" customHeight="1">
      <c r="B834" s="66"/>
    </row>
    <row r="835" ht="15.75" customHeight="1">
      <c r="B835" s="66"/>
    </row>
    <row r="836" ht="15.75" customHeight="1">
      <c r="B836" s="66"/>
    </row>
    <row r="837" ht="15.75" customHeight="1">
      <c r="B837" s="66"/>
    </row>
    <row r="838" ht="15.75" customHeight="1">
      <c r="B838" s="66"/>
    </row>
    <row r="839" ht="15.75" customHeight="1">
      <c r="B839" s="66"/>
    </row>
    <row r="840" ht="15.75" customHeight="1">
      <c r="B840" s="66"/>
    </row>
    <row r="841" ht="15.75" customHeight="1">
      <c r="B841" s="66"/>
    </row>
    <row r="842" ht="15.75" customHeight="1">
      <c r="B842" s="66"/>
    </row>
    <row r="843" ht="15.75" customHeight="1">
      <c r="B843" s="66"/>
    </row>
    <row r="844" ht="15.75" customHeight="1">
      <c r="B844" s="66"/>
    </row>
    <row r="845" ht="15.75" customHeight="1">
      <c r="B845" s="66"/>
    </row>
    <row r="846" ht="15.75" customHeight="1">
      <c r="B846" s="66"/>
    </row>
    <row r="847" ht="15.75" customHeight="1">
      <c r="B847" s="66"/>
    </row>
    <row r="848" ht="15.75" customHeight="1">
      <c r="B848" s="66"/>
    </row>
    <row r="849" ht="15.75" customHeight="1">
      <c r="B849" s="66"/>
    </row>
    <row r="850" ht="15.75" customHeight="1">
      <c r="B850" s="66"/>
    </row>
    <row r="851" ht="15.75" customHeight="1">
      <c r="B851" s="66"/>
    </row>
    <row r="852" ht="15.75" customHeight="1">
      <c r="B852" s="66"/>
    </row>
    <row r="853" ht="15.75" customHeight="1">
      <c r="B853" s="66"/>
    </row>
    <row r="854" ht="15.75" customHeight="1">
      <c r="B854" s="66"/>
    </row>
    <row r="855" ht="15.75" customHeight="1">
      <c r="B855" s="66"/>
    </row>
    <row r="856" ht="15.75" customHeight="1">
      <c r="B856" s="66"/>
    </row>
    <row r="857" ht="15.75" customHeight="1">
      <c r="B857" s="66"/>
    </row>
    <row r="858" ht="15.75" customHeight="1">
      <c r="B858" s="66"/>
    </row>
    <row r="859" ht="15.75" customHeight="1">
      <c r="B859" s="66"/>
    </row>
    <row r="860" ht="15.75" customHeight="1">
      <c r="B860" s="66"/>
    </row>
    <row r="861" ht="15.75" customHeight="1">
      <c r="B861" s="66"/>
    </row>
    <row r="862" ht="15.75" customHeight="1">
      <c r="B862" s="66"/>
    </row>
    <row r="863" ht="15.75" customHeight="1">
      <c r="B863" s="66"/>
    </row>
    <row r="864" ht="15.75" customHeight="1">
      <c r="B864" s="66"/>
    </row>
    <row r="865" ht="15.75" customHeight="1">
      <c r="B865" s="66"/>
    </row>
    <row r="866" ht="15.75" customHeight="1">
      <c r="B866" s="66"/>
    </row>
    <row r="867" ht="15.75" customHeight="1">
      <c r="B867" s="66"/>
    </row>
    <row r="868" ht="15.75" customHeight="1">
      <c r="B868" s="66"/>
    </row>
    <row r="869" ht="15.75" customHeight="1">
      <c r="B869" s="66"/>
    </row>
    <row r="870" ht="15.75" customHeight="1">
      <c r="B870" s="66"/>
    </row>
    <row r="871" ht="15.75" customHeight="1">
      <c r="B871" s="66"/>
    </row>
    <row r="872" ht="15.75" customHeight="1">
      <c r="B872" s="66"/>
    </row>
    <row r="873" ht="15.75" customHeight="1">
      <c r="B873" s="66"/>
    </row>
    <row r="874" ht="15.75" customHeight="1">
      <c r="B874" s="66"/>
    </row>
    <row r="875" ht="15.75" customHeight="1">
      <c r="B875" s="66"/>
    </row>
    <row r="876" ht="15.75" customHeight="1">
      <c r="B876" s="66"/>
    </row>
    <row r="877" ht="15.75" customHeight="1">
      <c r="B877" s="66"/>
    </row>
    <row r="878" ht="15.75" customHeight="1">
      <c r="B878" s="66"/>
    </row>
    <row r="879" ht="15.75" customHeight="1">
      <c r="B879" s="66"/>
    </row>
    <row r="880" ht="15.75" customHeight="1">
      <c r="B880" s="66"/>
    </row>
    <row r="881" ht="15.75" customHeight="1">
      <c r="B881" s="66"/>
    </row>
    <row r="882" ht="15.75" customHeight="1">
      <c r="B882" s="66"/>
    </row>
    <row r="883" ht="15.75" customHeight="1">
      <c r="B883" s="66"/>
    </row>
    <row r="884" ht="15.75" customHeight="1">
      <c r="B884" s="66"/>
    </row>
    <row r="885" ht="15.75" customHeight="1">
      <c r="B885" s="66"/>
    </row>
    <row r="886" ht="15.75" customHeight="1">
      <c r="B886" s="66"/>
    </row>
    <row r="887" ht="15.75" customHeight="1">
      <c r="B887" s="66"/>
    </row>
    <row r="888" ht="15.75" customHeight="1">
      <c r="B888" s="66"/>
    </row>
    <row r="889" ht="15.75" customHeight="1">
      <c r="B889" s="66"/>
    </row>
    <row r="890" ht="15.75" customHeight="1">
      <c r="B890" s="66"/>
    </row>
    <row r="891" ht="15.75" customHeight="1">
      <c r="B891" s="66"/>
    </row>
    <row r="892" ht="15.75" customHeight="1">
      <c r="B892" s="66"/>
    </row>
    <row r="893" ht="15.75" customHeight="1">
      <c r="B893" s="66"/>
    </row>
    <row r="894" ht="15.75" customHeight="1">
      <c r="B894" s="66"/>
    </row>
    <row r="895" ht="15.75" customHeight="1">
      <c r="B895" s="66"/>
    </row>
    <row r="896" ht="15.75" customHeight="1">
      <c r="B896" s="66"/>
    </row>
    <row r="897" ht="15.75" customHeight="1">
      <c r="B897" s="66"/>
    </row>
    <row r="898" ht="15.75" customHeight="1">
      <c r="B898" s="66"/>
    </row>
    <row r="899" ht="15.75" customHeight="1">
      <c r="B899" s="66"/>
    </row>
    <row r="900" ht="15.75" customHeight="1">
      <c r="B900" s="66"/>
    </row>
    <row r="901" ht="15.75" customHeight="1">
      <c r="B901" s="66"/>
    </row>
    <row r="902" ht="15.75" customHeight="1">
      <c r="B902" s="66"/>
    </row>
    <row r="903" ht="15.75" customHeight="1">
      <c r="B903" s="66"/>
    </row>
    <row r="904" ht="15.75" customHeight="1">
      <c r="B904" s="66"/>
    </row>
    <row r="905" ht="15.75" customHeight="1">
      <c r="B905" s="66"/>
    </row>
    <row r="906" ht="15.75" customHeight="1">
      <c r="B906" s="66"/>
    </row>
    <row r="907" ht="15.75" customHeight="1">
      <c r="B907" s="66"/>
    </row>
    <row r="908" ht="15.75" customHeight="1">
      <c r="B908" s="66"/>
    </row>
    <row r="909" ht="15.75" customHeight="1">
      <c r="B909" s="66"/>
    </row>
    <row r="910" ht="15.75" customHeight="1">
      <c r="B910" s="66"/>
    </row>
    <row r="911" ht="15.75" customHeight="1">
      <c r="B911" s="66"/>
    </row>
    <row r="912" ht="15.75" customHeight="1">
      <c r="B912" s="66"/>
    </row>
    <row r="913" ht="15.75" customHeight="1">
      <c r="B913" s="66"/>
    </row>
    <row r="914" ht="15.75" customHeight="1">
      <c r="B914" s="66"/>
    </row>
    <row r="915" ht="15.75" customHeight="1">
      <c r="B915" s="66"/>
    </row>
    <row r="916" ht="15.75" customHeight="1">
      <c r="B916" s="66"/>
    </row>
    <row r="917" ht="15.75" customHeight="1">
      <c r="B917" s="66"/>
    </row>
    <row r="918" ht="15.75" customHeight="1">
      <c r="B918" s="66"/>
    </row>
    <row r="919" ht="15.75" customHeight="1">
      <c r="B919" s="66"/>
    </row>
    <row r="920" ht="15.75" customHeight="1">
      <c r="B920" s="66"/>
    </row>
    <row r="921" ht="15.75" customHeight="1">
      <c r="B921" s="66"/>
    </row>
    <row r="922" ht="15.75" customHeight="1">
      <c r="B922" s="66"/>
    </row>
    <row r="923" ht="15.75" customHeight="1">
      <c r="B923" s="66"/>
    </row>
    <row r="924" ht="15.75" customHeight="1">
      <c r="B924" s="66"/>
    </row>
    <row r="925" ht="15.75" customHeight="1">
      <c r="B925" s="66"/>
    </row>
    <row r="926" ht="15.75" customHeight="1">
      <c r="B926" s="66"/>
    </row>
    <row r="927" ht="15.75" customHeight="1">
      <c r="B927" s="66"/>
    </row>
    <row r="928" ht="15.75" customHeight="1">
      <c r="B928" s="66"/>
    </row>
    <row r="929" ht="15.75" customHeight="1">
      <c r="B929" s="66"/>
    </row>
    <row r="930" ht="15.75" customHeight="1">
      <c r="B930" s="66"/>
    </row>
    <row r="931" ht="15.75" customHeight="1">
      <c r="B931" s="66"/>
    </row>
    <row r="932" ht="15.75" customHeight="1">
      <c r="B932" s="66"/>
    </row>
    <row r="933" ht="15.75" customHeight="1">
      <c r="B933" s="66"/>
    </row>
    <row r="934" ht="15.75" customHeight="1">
      <c r="B934" s="66"/>
    </row>
    <row r="935" ht="15.75" customHeight="1">
      <c r="B935" s="66"/>
    </row>
    <row r="936" ht="15.75" customHeight="1">
      <c r="B936" s="66"/>
    </row>
    <row r="937" ht="15.75" customHeight="1">
      <c r="B937" s="66"/>
    </row>
    <row r="938" ht="15.75" customHeight="1">
      <c r="B938" s="66"/>
    </row>
    <row r="939" ht="15.75" customHeight="1">
      <c r="B939" s="66"/>
    </row>
    <row r="940" ht="15.75" customHeight="1">
      <c r="B940" s="66"/>
    </row>
    <row r="941" ht="15.75" customHeight="1">
      <c r="B941" s="66"/>
    </row>
    <row r="942" ht="15.75" customHeight="1">
      <c r="B942" s="66"/>
    </row>
    <row r="943" ht="15.75" customHeight="1">
      <c r="B943" s="66"/>
    </row>
    <row r="944" ht="15.75" customHeight="1">
      <c r="B944" s="66"/>
    </row>
    <row r="945" ht="15.75" customHeight="1">
      <c r="B945" s="66"/>
    </row>
    <row r="946" ht="15.75" customHeight="1">
      <c r="B946" s="66"/>
    </row>
    <row r="947" ht="15.75" customHeight="1">
      <c r="B947" s="66"/>
    </row>
    <row r="948" ht="15.75" customHeight="1">
      <c r="B948" s="66"/>
    </row>
    <row r="949" ht="15.75" customHeight="1">
      <c r="B949" s="66"/>
    </row>
    <row r="950" ht="15.75" customHeight="1">
      <c r="B950" s="66"/>
    </row>
    <row r="951" ht="15.75" customHeight="1">
      <c r="B951" s="66"/>
    </row>
    <row r="952" ht="15.75" customHeight="1">
      <c r="B952" s="66"/>
    </row>
    <row r="953" ht="15.75" customHeight="1">
      <c r="B953" s="66"/>
    </row>
    <row r="954" ht="15.75" customHeight="1">
      <c r="B954" s="66"/>
    </row>
    <row r="955" ht="15.75" customHeight="1">
      <c r="B955" s="66"/>
    </row>
    <row r="956" ht="15.75" customHeight="1">
      <c r="B956" s="66"/>
    </row>
    <row r="957" ht="15.75" customHeight="1">
      <c r="B957" s="66"/>
    </row>
    <row r="958" ht="15.75" customHeight="1">
      <c r="B958" s="66"/>
    </row>
    <row r="959" ht="15.75" customHeight="1">
      <c r="B959" s="66"/>
    </row>
    <row r="960" ht="15.75" customHeight="1">
      <c r="B960" s="66"/>
    </row>
    <row r="961" ht="15.75" customHeight="1">
      <c r="B961" s="66"/>
    </row>
    <row r="962" ht="15.75" customHeight="1">
      <c r="B962" s="66"/>
    </row>
    <row r="963" ht="15.75" customHeight="1">
      <c r="B963" s="66"/>
    </row>
    <row r="964" ht="15.75" customHeight="1">
      <c r="B964" s="66"/>
    </row>
    <row r="965" ht="15.75" customHeight="1">
      <c r="B965" s="66"/>
    </row>
    <row r="966" ht="15.75" customHeight="1">
      <c r="B966" s="66"/>
    </row>
    <row r="967" ht="15.75" customHeight="1">
      <c r="B967" s="66"/>
    </row>
    <row r="968" ht="15.75" customHeight="1">
      <c r="B968" s="66"/>
    </row>
    <row r="969" ht="15.75" customHeight="1">
      <c r="B969" s="66"/>
    </row>
    <row r="970" ht="15.75" customHeight="1">
      <c r="B970" s="66"/>
    </row>
    <row r="971" ht="15.75" customHeight="1">
      <c r="B971" s="66"/>
    </row>
    <row r="972" ht="15.75" customHeight="1">
      <c r="B972" s="66"/>
    </row>
    <row r="973" ht="15.75" customHeight="1">
      <c r="B973" s="66"/>
    </row>
    <row r="974" ht="15.75" customHeight="1">
      <c r="B974" s="66"/>
    </row>
    <row r="975" ht="15.75" customHeight="1">
      <c r="B975" s="66"/>
    </row>
    <row r="976" ht="15.75" customHeight="1">
      <c r="B976" s="66"/>
    </row>
    <row r="977" ht="15.75" customHeight="1">
      <c r="B977" s="66"/>
    </row>
    <row r="978" ht="15.75" customHeight="1">
      <c r="B978" s="66"/>
    </row>
    <row r="979" ht="15.75" customHeight="1">
      <c r="B979" s="66"/>
    </row>
    <row r="980" ht="15.75" customHeight="1">
      <c r="B980" s="66"/>
    </row>
    <row r="981" ht="15.75" customHeight="1">
      <c r="B981" s="66"/>
    </row>
    <row r="982" ht="15.75" customHeight="1">
      <c r="B982" s="66"/>
    </row>
    <row r="983" ht="15.75" customHeight="1">
      <c r="B983" s="66"/>
    </row>
    <row r="984" ht="15.75" customHeight="1">
      <c r="B984" s="66"/>
    </row>
    <row r="985" ht="15.75" customHeight="1">
      <c r="B985" s="66"/>
    </row>
    <row r="986" ht="15.75" customHeight="1">
      <c r="B986" s="66"/>
    </row>
    <row r="987" ht="15.75" customHeight="1">
      <c r="B987" s="66"/>
    </row>
    <row r="988" ht="15.75" customHeight="1">
      <c r="B988" s="66"/>
    </row>
    <row r="989" ht="15.75" customHeight="1">
      <c r="B989" s="66"/>
    </row>
    <row r="990" ht="15.75" customHeight="1">
      <c r="B990" s="66"/>
    </row>
    <row r="991" ht="15.75" customHeight="1">
      <c r="B991" s="66"/>
    </row>
    <row r="992" ht="15.75" customHeight="1">
      <c r="B992" s="66"/>
    </row>
    <row r="993" ht="15.75" customHeight="1">
      <c r="B993" s="66"/>
    </row>
    <row r="994" ht="15.75" customHeight="1">
      <c r="B994" s="66"/>
    </row>
    <row r="995" ht="15.75" customHeight="1">
      <c r="B995" s="66"/>
    </row>
    <row r="996" ht="15.75" customHeight="1">
      <c r="B996" s="66"/>
    </row>
    <row r="997" ht="15.75" customHeight="1">
      <c r="B997" s="66"/>
    </row>
    <row r="998" ht="15.75" customHeight="1">
      <c r="B998" s="66"/>
    </row>
    <row r="999" ht="15.75" customHeight="1">
      <c r="B999" s="66"/>
    </row>
    <row r="1000" ht="15.75" customHeight="1">
      <c r="B1000" s="66"/>
    </row>
  </sheetData>
  <mergeCells count="2">
    <mergeCell ref="F1:I1"/>
    <mergeCell ref="K1:N1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1.57"/>
    <col customWidth="1" min="3" max="3" width="11.86"/>
    <col customWidth="1" min="4" max="5" width="9.86"/>
    <col customWidth="1" min="6" max="6" width="8.57"/>
    <col customWidth="1" min="7" max="7" width="8.71"/>
    <col customWidth="1" min="8" max="11" width="9.86"/>
    <col customWidth="1" min="12" max="12" width="5.43"/>
    <col customWidth="1" min="13" max="26" width="8.71"/>
  </cols>
  <sheetData>
    <row r="2">
      <c r="B2" s="74" t="s">
        <v>105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>
      <c r="B3" s="75" t="s">
        <v>106</v>
      </c>
      <c r="C3" s="76">
        <f>TODAY()</f>
        <v>46195</v>
      </c>
    </row>
    <row r="6">
      <c r="B6" s="77" t="s">
        <v>107</v>
      </c>
      <c r="C6" s="35"/>
      <c r="D6" s="35"/>
      <c r="E6" s="35"/>
      <c r="F6" s="78"/>
      <c r="H6" s="77" t="s">
        <v>108</v>
      </c>
      <c r="I6" s="35"/>
      <c r="J6" s="35"/>
      <c r="K6" s="35"/>
      <c r="L6" s="78"/>
    </row>
    <row r="8">
      <c r="B8" s="79" t="s">
        <v>109</v>
      </c>
      <c r="C8" s="80"/>
      <c r="D8" s="80"/>
      <c r="E8" s="81"/>
      <c r="F8" s="55" t="str">
        <f>SUMIFS(#REF!,#REF!,"APROVADO",Lev.Quadros!$O$3:$O$23,"COMANDO")</f>
        <v>#N/A</v>
      </c>
      <c r="H8" s="79" t="s">
        <v>109</v>
      </c>
      <c r="I8" s="80"/>
      <c r="J8" s="80"/>
      <c r="K8" s="81"/>
      <c r="L8" s="55" t="str">
        <f>SUMIFS(#REF!,#REF!,"APROVADO",Lev.Quadros!$O$3:$O$23,"DISTRIBUIÇÃO")</f>
        <v>#N/A</v>
      </c>
    </row>
    <row r="9">
      <c r="B9" s="79" t="s">
        <v>110</v>
      </c>
      <c r="C9" s="80"/>
      <c r="D9" s="80"/>
      <c r="E9" s="81"/>
      <c r="F9" s="55" t="str">
        <f>SUMIFS(#REF!,#REF!,"NÃO APROVADO",Lev.Quadros!$O$3:$O$23,"COMANDO")</f>
        <v>#N/A</v>
      </c>
      <c r="H9" s="79" t="s">
        <v>111</v>
      </c>
      <c r="I9" s="80"/>
      <c r="J9" s="80"/>
      <c r="K9" s="81"/>
      <c r="L9" s="55" t="str">
        <f>SUMIFS(#REF!,#REF!,"NÃO APROVADO",Lev.Quadros!$O$3:$O$23,"DISTRIBUIÇÃO")</f>
        <v>#N/A</v>
      </c>
    </row>
    <row r="10">
      <c r="B10" s="79" t="s">
        <v>112</v>
      </c>
      <c r="C10" s="80"/>
      <c r="D10" s="80"/>
      <c r="E10" s="81"/>
      <c r="F10" s="55" t="str">
        <f>SUMIFS(#REF!,#REF!,"EM ANÁLISE",Lev.Quadros!$O$3:$O$23,"COMANDO")</f>
        <v>#N/A</v>
      </c>
      <c r="H10" s="79" t="s">
        <v>112</v>
      </c>
      <c r="I10" s="80"/>
      <c r="J10" s="80"/>
      <c r="K10" s="81"/>
      <c r="L10" s="55" t="str">
        <f>SUMIFS(#REF!,#REF!,"EM ANÁLISE",Lev.Quadros!$O$3:$O$23,"DISTRIBUIÇÃO")</f>
        <v>#N/A</v>
      </c>
    </row>
    <row r="11">
      <c r="F11" s="82" t="str">
        <f>SUM(F8:F10)</f>
        <v>#N/A</v>
      </c>
      <c r="L11" s="82" t="str">
        <f>SUM(L8:L10)</f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B29" s="74" t="s">
        <v>113</v>
      </c>
      <c r="C29" s="35"/>
      <c r="D29" s="35"/>
      <c r="E29" s="35"/>
      <c r="F29" s="36"/>
      <c r="H29" s="74" t="s">
        <v>113</v>
      </c>
      <c r="I29" s="35"/>
      <c r="J29" s="35"/>
      <c r="K29" s="35"/>
      <c r="L29" s="36"/>
    </row>
    <row r="30" ht="15.75" customHeight="1"/>
    <row r="31" ht="15.75" customHeight="1">
      <c r="B31" s="79" t="s">
        <v>114</v>
      </c>
      <c r="C31" s="80"/>
      <c r="D31" s="80"/>
      <c r="E31" s="81"/>
      <c r="F31" s="55" t="str">
        <f>SUMIFS(#REF!,Lev.Quadros!$O$3:$O$23,"COMANDO",#REF!,"NÃO APROVADO",#REF!,"APROVADO PARA FABRICAÇÃO")</f>
        <v>#N/A</v>
      </c>
      <c r="H31" s="79" t="s">
        <v>114</v>
      </c>
      <c r="I31" s="80"/>
      <c r="J31" s="80"/>
      <c r="K31" s="81"/>
      <c r="L31" s="55" t="str">
        <f>SUMIFS(#REF!,#REF!,"DISTRIBUIÇÃO",#REF!,"NÃO APROVADO",#REF!,"APROVADO PARA FABRICAÇÃO")</f>
        <v>#N/A</v>
      </c>
    </row>
    <row r="32" ht="15.75" customHeight="1">
      <c r="B32" s="79" t="s">
        <v>115</v>
      </c>
      <c r="C32" s="80"/>
      <c r="D32" s="80"/>
      <c r="E32" s="81"/>
      <c r="F32" s="55" t="str">
        <f>SUMIFS(#REF!,Lev.Quadros!$O$3:$O$23,"COMANDO",#REF!,"NÃO APROVADO",#REF!,"CORREÇÃO PROJETO EXECUTIVO")</f>
        <v>#N/A</v>
      </c>
      <c r="H32" s="79" t="s">
        <v>115</v>
      </c>
      <c r="I32" s="80"/>
      <c r="J32" s="80"/>
      <c r="K32" s="81"/>
      <c r="L32" s="55" t="str">
        <f>SUMIFS(#REF!,#REF!,"DISTRIBUIÇÃO",#REF!,"NÃO APROVADO",#REF!,"CORREÇÃO PROJETO EXECUTIVO")</f>
        <v>#N/A</v>
      </c>
    </row>
    <row r="33" ht="15.75" customHeight="1">
      <c r="B33" s="79" t="s">
        <v>116</v>
      </c>
      <c r="C33" s="80"/>
      <c r="D33" s="80"/>
      <c r="E33" s="81"/>
      <c r="F33" s="55" t="str">
        <f>SUMIFS(#REF!,#REF!,"COMANDO",#REF!,"NÃO APROVADO",#REF!,"ENVIADO GHC")</f>
        <v>#N/A</v>
      </c>
      <c r="H33" s="79" t="s">
        <v>116</v>
      </c>
      <c r="I33" s="80"/>
      <c r="J33" s="80"/>
      <c r="K33" s="81"/>
      <c r="L33" s="55" t="str">
        <f>SUMIFS(#REF!,#REF!,"DISTRIBUIÇÃO",#REF!,"NÃO APROVADO",#REF!,"ENVIADO GHC")</f>
        <v>#N/A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2:L2"/>
    <mergeCell ref="B6:F6"/>
    <mergeCell ref="H6:L6"/>
    <mergeCell ref="B8:E8"/>
    <mergeCell ref="H8:K8"/>
    <mergeCell ref="B9:E9"/>
    <mergeCell ref="B10:E10"/>
    <mergeCell ref="B32:E32"/>
    <mergeCell ref="B33:E33"/>
    <mergeCell ref="H9:K9"/>
    <mergeCell ref="H10:K10"/>
    <mergeCell ref="B29:F29"/>
    <mergeCell ref="H29:L29"/>
    <mergeCell ref="B31:E31"/>
    <mergeCell ref="H31:K31"/>
    <mergeCell ref="H32:K32"/>
    <mergeCell ref="H33:K33"/>
  </mergeCells>
  <printOptions horizontalCentered="1" verticalCentered="1"/>
  <pageMargins bottom="0.7874015748031497" footer="0.0" header="0.0" left="0.5118110236220472" right="0.5118110236220472" top="0.7874015748031497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7.57"/>
    <col customWidth="1" min="2" max="2" width="20.0"/>
    <col customWidth="1" min="3" max="3" width="21.86"/>
    <col customWidth="1" min="4" max="4" width="16.29"/>
    <col customWidth="1" min="5" max="5" width="11.29"/>
    <col customWidth="1" min="6" max="6" width="5.71"/>
    <col customWidth="1" min="7" max="7" width="20.0"/>
    <col customWidth="1" min="8" max="8" width="21.14"/>
    <col customWidth="1" min="9" max="9" width="19.29"/>
    <col customWidth="1" min="10" max="10" width="12.71"/>
    <col customWidth="1" min="11" max="11" width="45.29"/>
  </cols>
  <sheetData>
    <row r="1">
      <c r="A1" s="83"/>
      <c r="B1" s="84"/>
      <c r="C1" s="84"/>
      <c r="D1" s="84"/>
      <c r="E1" s="85"/>
      <c r="F1" s="84"/>
      <c r="G1" s="86"/>
      <c r="H1" s="84"/>
      <c r="I1" s="86"/>
      <c r="J1" s="84"/>
      <c r="K1" s="84"/>
    </row>
    <row r="2" ht="22.5" customHeight="1">
      <c r="A2" s="87" t="s">
        <v>117</v>
      </c>
      <c r="B2" s="88" t="s">
        <v>118</v>
      </c>
      <c r="C2" s="88" t="s">
        <v>119</v>
      </c>
      <c r="D2" s="88" t="s">
        <v>120</v>
      </c>
      <c r="E2" s="89" t="s">
        <v>121</v>
      </c>
      <c r="F2" s="88" t="s">
        <v>122</v>
      </c>
      <c r="G2" s="88" t="s">
        <v>123</v>
      </c>
      <c r="H2" s="88" t="s">
        <v>124</v>
      </c>
      <c r="I2" s="88" t="s">
        <v>125</v>
      </c>
      <c r="J2" s="88" t="s">
        <v>126</v>
      </c>
      <c r="K2" s="88" t="s">
        <v>127</v>
      </c>
    </row>
    <row r="3" ht="22.5" customHeight="1">
      <c r="A3" s="90" t="str">
        <f t="shared" ref="A3:A72" si="1">CONCATENATE(B3,"-",C3)</f>
        <v>TJ-02º Pav.-</v>
      </c>
      <c r="B3" s="91" t="s">
        <v>128</v>
      </c>
      <c r="C3" s="92"/>
      <c r="D3" s="93"/>
      <c r="E3" s="94"/>
      <c r="G3" s="92"/>
      <c r="I3" s="95"/>
    </row>
    <row r="4" ht="22.5" customHeight="1">
      <c r="A4" s="90" t="str">
        <f t="shared" si="1"/>
        <v>TJ-02º Pav.-Sala Elétrica E2</v>
      </c>
      <c r="B4" s="91" t="s">
        <v>128</v>
      </c>
      <c r="C4" s="92" t="s">
        <v>129</v>
      </c>
      <c r="D4" s="93"/>
      <c r="E4" s="94" t="s">
        <v>130</v>
      </c>
      <c r="G4" s="92"/>
      <c r="I4" s="95"/>
    </row>
    <row r="5" ht="22.5" customHeight="1">
      <c r="A5" s="90" t="str">
        <f t="shared" si="1"/>
        <v>TJ-02º Pav.-Sala Elétrica E3</v>
      </c>
      <c r="B5" s="91" t="s">
        <v>128</v>
      </c>
      <c r="C5" s="92" t="s">
        <v>131</v>
      </c>
      <c r="D5" s="93"/>
      <c r="E5" s="94" t="s">
        <v>132</v>
      </c>
      <c r="G5" s="92"/>
      <c r="I5" s="95"/>
    </row>
    <row r="6" ht="22.5" customHeight="1">
      <c r="A6" s="90" t="str">
        <f t="shared" si="1"/>
        <v>TJ-02º Pav.-Sala Elétrica W2</v>
      </c>
      <c r="B6" s="91" t="s">
        <v>128</v>
      </c>
      <c r="C6" s="92" t="s">
        <v>133</v>
      </c>
      <c r="D6" s="96"/>
      <c r="E6" s="94" t="s">
        <v>134</v>
      </c>
      <c r="G6" s="95"/>
      <c r="I6" s="95"/>
    </row>
    <row r="7" ht="22.5" customHeight="1">
      <c r="A7" s="90" t="str">
        <f t="shared" si="1"/>
        <v>TJ-02º Pav.-Sala Elétrica W3</v>
      </c>
      <c r="B7" s="91" t="s">
        <v>128</v>
      </c>
      <c r="C7" s="92" t="s">
        <v>135</v>
      </c>
      <c r="D7" s="93"/>
      <c r="E7" s="94" t="s">
        <v>136</v>
      </c>
      <c r="G7" s="92"/>
      <c r="I7" s="95"/>
    </row>
    <row r="8" ht="22.5" customHeight="1">
      <c r="A8" s="90" t="str">
        <f t="shared" si="1"/>
        <v>TJ-03º Pav.-</v>
      </c>
      <c r="B8" s="91" t="s">
        <v>137</v>
      </c>
      <c r="C8" s="92"/>
      <c r="D8" s="93"/>
      <c r="E8" s="94"/>
      <c r="G8" s="92"/>
      <c r="I8" s="95"/>
    </row>
    <row r="9" ht="22.5" customHeight="1">
      <c r="A9" s="90" t="str">
        <f t="shared" si="1"/>
        <v>TJ-03º Pav.-Sala Elétrica E2</v>
      </c>
      <c r="B9" s="91" t="s">
        <v>137</v>
      </c>
      <c r="C9" s="92" t="s">
        <v>129</v>
      </c>
      <c r="D9" s="93"/>
      <c r="E9" s="94" t="s">
        <v>130</v>
      </c>
      <c r="G9" s="92"/>
      <c r="I9" s="95"/>
    </row>
    <row r="10" ht="22.5" customHeight="1">
      <c r="A10" s="90" t="str">
        <f t="shared" si="1"/>
        <v>TJ-03º Pav.-Sala Elétrica E3</v>
      </c>
      <c r="B10" s="91" t="s">
        <v>137</v>
      </c>
      <c r="C10" s="92" t="s">
        <v>131</v>
      </c>
      <c r="D10" s="93"/>
      <c r="E10" s="94" t="s">
        <v>132</v>
      </c>
      <c r="G10" s="92"/>
      <c r="I10" s="95"/>
    </row>
    <row r="11" ht="22.5" customHeight="1">
      <c r="A11" s="90" t="str">
        <f t="shared" si="1"/>
        <v>TJ-03º Pav.-Sala Elétrica W2</v>
      </c>
      <c r="B11" s="91" t="s">
        <v>137</v>
      </c>
      <c r="C11" s="92" t="s">
        <v>133</v>
      </c>
      <c r="D11" s="93"/>
      <c r="E11" s="94" t="s">
        <v>134</v>
      </c>
      <c r="G11" s="92"/>
      <c r="I11" s="95"/>
    </row>
    <row r="12" ht="22.5" customHeight="1">
      <c r="A12" s="90" t="str">
        <f t="shared" si="1"/>
        <v>TJ-03º Pav.-Sala Elétrica W3</v>
      </c>
      <c r="B12" s="91" t="s">
        <v>137</v>
      </c>
      <c r="C12" s="92" t="s">
        <v>135</v>
      </c>
      <c r="D12" s="93"/>
      <c r="E12" s="94" t="s">
        <v>136</v>
      </c>
      <c r="G12" s="92"/>
      <c r="I12" s="95"/>
    </row>
    <row r="13" ht="22.5" customHeight="1">
      <c r="A13" s="90" t="str">
        <f t="shared" si="1"/>
        <v>TJ-04º Pav.-</v>
      </c>
      <c r="B13" s="91" t="s">
        <v>138</v>
      </c>
      <c r="C13" s="92"/>
      <c r="D13" s="93"/>
      <c r="E13" s="94"/>
      <c r="G13" s="92"/>
      <c r="I13" s="95"/>
    </row>
    <row r="14" ht="22.5" customHeight="1">
      <c r="A14" s="90" t="str">
        <f t="shared" si="1"/>
        <v>TJ-04º Pav.-Sala Elétrica E2</v>
      </c>
      <c r="B14" s="91" t="s">
        <v>138</v>
      </c>
      <c r="C14" s="92" t="s">
        <v>129</v>
      </c>
      <c r="D14" s="93"/>
      <c r="E14" s="94" t="s">
        <v>130</v>
      </c>
      <c r="G14" s="92"/>
      <c r="I14" s="97" t="s">
        <v>139</v>
      </c>
    </row>
    <row r="15" ht="22.5" customHeight="1">
      <c r="A15" s="90" t="str">
        <f t="shared" si="1"/>
        <v>TJ-04º Pav.-Sala Elétrica E3</v>
      </c>
      <c r="B15" s="91" t="s">
        <v>138</v>
      </c>
      <c r="C15" s="92" t="s">
        <v>131</v>
      </c>
      <c r="D15" s="93"/>
      <c r="E15" s="94" t="s">
        <v>132</v>
      </c>
      <c r="G15" s="92"/>
      <c r="I15" s="97" t="s">
        <v>140</v>
      </c>
    </row>
    <row r="16" ht="22.5" customHeight="1">
      <c r="A16" s="90" t="str">
        <f t="shared" si="1"/>
        <v>TJ-04º Pav.-Sala Elétrica W2</v>
      </c>
      <c r="B16" s="91" t="s">
        <v>138</v>
      </c>
      <c r="C16" s="92" t="s">
        <v>133</v>
      </c>
      <c r="D16" s="93"/>
      <c r="E16" s="94" t="s">
        <v>134</v>
      </c>
      <c r="G16" s="92"/>
      <c r="I16" s="98" t="s">
        <v>141</v>
      </c>
    </row>
    <row r="17" ht="22.5" customHeight="1">
      <c r="A17" s="90" t="str">
        <f t="shared" si="1"/>
        <v>TJ-04º Pav.-Sala Elétrica W3</v>
      </c>
      <c r="B17" s="91" t="s">
        <v>138</v>
      </c>
      <c r="C17" s="92" t="s">
        <v>135</v>
      </c>
      <c r="D17" s="93"/>
      <c r="E17" s="94" t="s">
        <v>136</v>
      </c>
      <c r="G17" s="92"/>
      <c r="I17" s="97" t="s">
        <v>142</v>
      </c>
    </row>
    <row r="18" ht="22.5" customHeight="1">
      <c r="A18" s="90" t="str">
        <f t="shared" si="1"/>
        <v>TJ-05º Pav.-</v>
      </c>
      <c r="B18" s="91" t="s">
        <v>143</v>
      </c>
      <c r="C18" s="92"/>
      <c r="D18" s="93"/>
      <c r="E18" s="94"/>
      <c r="G18" s="92"/>
      <c r="I18" s="92"/>
    </row>
    <row r="19" ht="22.5" customHeight="1">
      <c r="A19" s="90" t="str">
        <f t="shared" si="1"/>
        <v>TJ-05º Pav.-Sala Elétrica E2</v>
      </c>
      <c r="B19" s="91" t="s">
        <v>143</v>
      </c>
      <c r="C19" s="92" t="s">
        <v>129</v>
      </c>
      <c r="D19" s="93"/>
      <c r="E19" s="94" t="s">
        <v>130</v>
      </c>
      <c r="G19" s="92"/>
      <c r="I19" s="95"/>
    </row>
    <row r="20" ht="22.5" customHeight="1">
      <c r="A20" s="90" t="str">
        <f t="shared" si="1"/>
        <v>TJ-05º Pav.-Sala Elétrica E3</v>
      </c>
      <c r="B20" s="91" t="s">
        <v>143</v>
      </c>
      <c r="C20" s="92" t="s">
        <v>131</v>
      </c>
      <c r="D20" s="93"/>
      <c r="E20" s="94" t="s">
        <v>132</v>
      </c>
      <c r="G20" s="92"/>
      <c r="I20" s="95"/>
    </row>
    <row r="21" ht="22.5" customHeight="1">
      <c r="A21" s="90" t="str">
        <f t="shared" si="1"/>
        <v>TJ-05º Pav.-Sala Elétrica W2</v>
      </c>
      <c r="B21" s="91" t="s">
        <v>143</v>
      </c>
      <c r="C21" s="92" t="s">
        <v>133</v>
      </c>
      <c r="D21" s="93"/>
      <c r="E21" s="94" t="s">
        <v>134</v>
      </c>
      <c r="G21" s="92"/>
      <c r="I21" s="95"/>
    </row>
    <row r="22" ht="22.5" customHeight="1">
      <c r="A22" s="90" t="str">
        <f t="shared" si="1"/>
        <v>TJ-05º Pav.-Sala Elétrica W3</v>
      </c>
      <c r="B22" s="91" t="s">
        <v>143</v>
      </c>
      <c r="C22" s="92" t="s">
        <v>135</v>
      </c>
      <c r="D22" s="93"/>
      <c r="E22" s="94" t="s">
        <v>136</v>
      </c>
      <c r="G22" s="92"/>
      <c r="I22" s="95"/>
    </row>
    <row r="23" ht="22.5" customHeight="1">
      <c r="A23" s="90" t="str">
        <f t="shared" si="1"/>
        <v>TJ-06º Pav.-</v>
      </c>
      <c r="B23" s="91" t="s">
        <v>144</v>
      </c>
      <c r="C23" s="92"/>
      <c r="D23" s="93"/>
      <c r="E23" s="94"/>
      <c r="G23" s="92"/>
      <c r="I23" s="95"/>
    </row>
    <row r="24" ht="22.5" customHeight="1">
      <c r="A24" s="90" t="str">
        <f t="shared" si="1"/>
        <v>TJ-06º Pav.-Sala Elétrica E2</v>
      </c>
      <c r="B24" s="91" t="s">
        <v>144</v>
      </c>
      <c r="C24" s="92" t="s">
        <v>129</v>
      </c>
      <c r="D24" s="93"/>
      <c r="E24" s="94" t="s">
        <v>130</v>
      </c>
      <c r="G24" s="92"/>
      <c r="I24" s="95"/>
    </row>
    <row r="25" ht="22.5" customHeight="1">
      <c r="A25" s="90" t="str">
        <f t="shared" si="1"/>
        <v>TJ-06º Pav.-Sala Elétrica E3</v>
      </c>
      <c r="B25" s="91" t="s">
        <v>144</v>
      </c>
      <c r="C25" s="92" t="s">
        <v>131</v>
      </c>
      <c r="D25" s="93"/>
      <c r="E25" s="94" t="s">
        <v>132</v>
      </c>
      <c r="G25" s="92"/>
      <c r="I25" s="95"/>
    </row>
    <row r="26" ht="22.5" customHeight="1">
      <c r="A26" s="90" t="str">
        <f t="shared" si="1"/>
        <v>TJ-06º Pav.-Sala Elétrica W2</v>
      </c>
      <c r="B26" s="91" t="s">
        <v>144</v>
      </c>
      <c r="C26" s="92" t="s">
        <v>133</v>
      </c>
      <c r="D26" s="93"/>
      <c r="E26" s="94" t="s">
        <v>134</v>
      </c>
      <c r="G26" s="92"/>
      <c r="I26" s="95"/>
    </row>
    <row r="27" ht="22.5" customHeight="1">
      <c r="A27" s="90" t="str">
        <f t="shared" si="1"/>
        <v>TJ-06º Pav.-Sala Elétrica W3</v>
      </c>
      <c r="B27" s="91" t="s">
        <v>144</v>
      </c>
      <c r="C27" s="92" t="s">
        <v>135</v>
      </c>
      <c r="D27" s="93"/>
      <c r="E27" s="94" t="s">
        <v>136</v>
      </c>
      <c r="G27" s="92"/>
      <c r="I27" s="95"/>
    </row>
    <row r="28" ht="22.5" customHeight="1">
      <c r="A28" s="90" t="str">
        <f t="shared" si="1"/>
        <v>TJ-07º Pav.-</v>
      </c>
      <c r="B28" s="91" t="s">
        <v>145</v>
      </c>
      <c r="C28" s="92"/>
      <c r="D28" s="93"/>
      <c r="E28" s="94"/>
      <c r="G28" s="92"/>
      <c r="I28" s="95"/>
    </row>
    <row r="29" ht="22.5" customHeight="1">
      <c r="A29" s="90" t="str">
        <f t="shared" si="1"/>
        <v>TJ-07º Pav.-Sala Elétrica E2</v>
      </c>
      <c r="B29" s="91" t="s">
        <v>145</v>
      </c>
      <c r="C29" s="92" t="s">
        <v>129</v>
      </c>
      <c r="D29" s="93"/>
      <c r="E29" s="94" t="s">
        <v>130</v>
      </c>
      <c r="G29" s="92"/>
      <c r="I29" s="95"/>
    </row>
    <row r="30" ht="22.5" customHeight="1">
      <c r="A30" s="90" t="str">
        <f t="shared" si="1"/>
        <v>TJ-07º Pav.-Sala Elétrica E3</v>
      </c>
      <c r="B30" s="91" t="s">
        <v>145</v>
      </c>
      <c r="C30" s="92" t="s">
        <v>131</v>
      </c>
      <c r="D30" s="93"/>
      <c r="E30" s="94" t="s">
        <v>132</v>
      </c>
      <c r="G30" s="92"/>
      <c r="I30" s="95"/>
    </row>
    <row r="31" ht="22.5" customHeight="1">
      <c r="A31" s="90" t="str">
        <f t="shared" si="1"/>
        <v>TJ-07º Pav.-Sala Elétrica W2</v>
      </c>
      <c r="B31" s="91" t="s">
        <v>145</v>
      </c>
      <c r="C31" s="92" t="s">
        <v>133</v>
      </c>
      <c r="D31" s="93"/>
      <c r="E31" s="94" t="s">
        <v>134</v>
      </c>
      <c r="G31" s="92"/>
      <c r="I31" s="95"/>
    </row>
    <row r="32" ht="22.5" customHeight="1">
      <c r="A32" s="90" t="str">
        <f t="shared" si="1"/>
        <v>TJ-07º Pav.-Sala Elétrica W3</v>
      </c>
      <c r="B32" s="91" t="s">
        <v>145</v>
      </c>
      <c r="C32" s="92" t="s">
        <v>135</v>
      </c>
      <c r="D32" s="93"/>
      <c r="E32" s="94" t="s">
        <v>136</v>
      </c>
      <c r="G32" s="92"/>
      <c r="I32" s="95"/>
    </row>
    <row r="33" ht="22.5" customHeight="1">
      <c r="A33" s="90" t="str">
        <f t="shared" si="1"/>
        <v>TJ-08º Pav.-</v>
      </c>
      <c r="B33" s="91" t="s">
        <v>146</v>
      </c>
      <c r="C33" s="92"/>
      <c r="D33" s="93"/>
      <c r="E33" s="94"/>
      <c r="G33" s="92"/>
      <c r="I33" s="95"/>
    </row>
    <row r="34" ht="22.5" customHeight="1">
      <c r="A34" s="90" t="str">
        <f t="shared" si="1"/>
        <v>TJ-08º Pav.-Sala Elétrica E2</v>
      </c>
      <c r="B34" s="91" t="s">
        <v>146</v>
      </c>
      <c r="C34" s="92" t="s">
        <v>129</v>
      </c>
      <c r="D34" s="93"/>
      <c r="E34" s="94" t="s">
        <v>130</v>
      </c>
      <c r="G34" s="92"/>
      <c r="I34" s="95"/>
    </row>
    <row r="35" ht="22.5" customHeight="1">
      <c r="A35" s="90" t="str">
        <f t="shared" si="1"/>
        <v>TJ-08º Pav.-Sala Elétrica E3</v>
      </c>
      <c r="B35" s="91" t="s">
        <v>146</v>
      </c>
      <c r="C35" s="92" t="s">
        <v>131</v>
      </c>
      <c r="D35" s="93"/>
      <c r="E35" s="94" t="s">
        <v>132</v>
      </c>
      <c r="G35" s="92"/>
      <c r="I35" s="95"/>
    </row>
    <row r="36" ht="22.5" customHeight="1">
      <c r="A36" s="90" t="str">
        <f t="shared" si="1"/>
        <v>TJ-08º Pav.-Sala Elétrica W2</v>
      </c>
      <c r="B36" s="91" t="s">
        <v>146</v>
      </c>
      <c r="C36" s="92" t="s">
        <v>133</v>
      </c>
      <c r="D36" s="93"/>
      <c r="E36" s="94" t="s">
        <v>134</v>
      </c>
      <c r="G36" s="92"/>
      <c r="I36" s="95"/>
    </row>
    <row r="37" ht="22.5" customHeight="1">
      <c r="A37" s="90" t="str">
        <f t="shared" si="1"/>
        <v>TJ-08º Pav.-Sala Elétrica W3</v>
      </c>
      <c r="B37" s="91" t="s">
        <v>146</v>
      </c>
      <c r="C37" s="92" t="s">
        <v>135</v>
      </c>
      <c r="D37" s="93"/>
      <c r="E37" s="94" t="s">
        <v>136</v>
      </c>
      <c r="G37" s="92"/>
      <c r="I37" s="95"/>
    </row>
    <row r="38" ht="22.5" customHeight="1">
      <c r="A38" s="90" t="str">
        <f t="shared" si="1"/>
        <v>TJ-09º Pav.-</v>
      </c>
      <c r="B38" s="91" t="s">
        <v>147</v>
      </c>
      <c r="C38" s="92"/>
      <c r="D38" s="93"/>
      <c r="E38" s="94"/>
      <c r="G38" s="92"/>
      <c r="I38" s="95"/>
    </row>
    <row r="39" ht="22.5" customHeight="1">
      <c r="A39" s="90" t="str">
        <f t="shared" si="1"/>
        <v>TJ-09º Pav.-Sala Elétrica E2</v>
      </c>
      <c r="B39" s="91" t="s">
        <v>147</v>
      </c>
      <c r="C39" s="92" t="s">
        <v>129</v>
      </c>
      <c r="D39" s="93"/>
      <c r="E39" s="94" t="s">
        <v>130</v>
      </c>
      <c r="G39" s="92"/>
      <c r="I39" s="95"/>
    </row>
    <row r="40" ht="22.5" customHeight="1">
      <c r="A40" s="90" t="str">
        <f t="shared" si="1"/>
        <v>TJ-09º Pav.-Sala Elétrica E3</v>
      </c>
      <c r="B40" s="91" t="s">
        <v>147</v>
      </c>
      <c r="C40" s="92" t="s">
        <v>131</v>
      </c>
      <c r="D40" s="93"/>
      <c r="E40" s="94" t="s">
        <v>132</v>
      </c>
      <c r="G40" s="92"/>
      <c r="I40" s="95"/>
    </row>
    <row r="41" ht="22.5" customHeight="1">
      <c r="A41" s="90" t="str">
        <f t="shared" si="1"/>
        <v>TJ-09º Pav.-Sala Elétrica W2</v>
      </c>
      <c r="B41" s="91" t="s">
        <v>147</v>
      </c>
      <c r="C41" s="92" t="s">
        <v>133</v>
      </c>
      <c r="D41" s="93"/>
      <c r="E41" s="94" t="s">
        <v>134</v>
      </c>
      <c r="G41" s="92"/>
      <c r="I41" s="95"/>
    </row>
    <row r="42" ht="22.5" customHeight="1">
      <c r="A42" s="90" t="str">
        <f t="shared" si="1"/>
        <v>TJ-09º Pav.-Sala Elétrica W3</v>
      </c>
      <c r="B42" s="91" t="s">
        <v>147</v>
      </c>
      <c r="C42" s="92" t="s">
        <v>135</v>
      </c>
      <c r="D42" s="93"/>
      <c r="E42" s="94" t="s">
        <v>136</v>
      </c>
      <c r="G42" s="92"/>
      <c r="I42" s="95"/>
    </row>
    <row r="43" ht="22.5" customHeight="1">
      <c r="A43" s="90" t="str">
        <f t="shared" si="1"/>
        <v>TJ-10º Pav.-</v>
      </c>
      <c r="B43" s="91" t="s">
        <v>148</v>
      </c>
      <c r="C43" s="92"/>
      <c r="D43" s="93"/>
      <c r="E43" s="94"/>
      <c r="G43" s="92"/>
      <c r="I43" s="95"/>
    </row>
    <row r="44" ht="22.5" customHeight="1">
      <c r="A44" s="90" t="str">
        <f t="shared" si="1"/>
        <v>TJ-10º Pav.-Sala Elétrica E2</v>
      </c>
      <c r="B44" s="91" t="s">
        <v>148</v>
      </c>
      <c r="C44" s="92" t="s">
        <v>129</v>
      </c>
      <c r="D44" s="93"/>
      <c r="E44" s="94" t="s">
        <v>130</v>
      </c>
      <c r="G44" s="92"/>
      <c r="I44" s="95"/>
    </row>
    <row r="45" ht="22.5" customHeight="1">
      <c r="A45" s="90" t="str">
        <f t="shared" si="1"/>
        <v>TJ-10º Pav.-Sala Elétrica E3</v>
      </c>
      <c r="B45" s="91" t="s">
        <v>148</v>
      </c>
      <c r="C45" s="92" t="s">
        <v>131</v>
      </c>
      <c r="D45" s="93"/>
      <c r="E45" s="94" t="s">
        <v>132</v>
      </c>
      <c r="G45" s="92"/>
      <c r="I45" s="95"/>
    </row>
    <row r="46" ht="22.5" customHeight="1">
      <c r="A46" s="90" t="str">
        <f t="shared" si="1"/>
        <v>TJ-10º Pav.-Sala Elétrica W2</v>
      </c>
      <c r="B46" s="91" t="s">
        <v>148</v>
      </c>
      <c r="C46" s="92" t="s">
        <v>133</v>
      </c>
      <c r="D46" s="93"/>
      <c r="E46" s="94" t="s">
        <v>134</v>
      </c>
      <c r="G46" s="92"/>
      <c r="I46" s="95"/>
    </row>
    <row r="47" ht="22.5" customHeight="1">
      <c r="A47" s="90" t="str">
        <f t="shared" si="1"/>
        <v>TJ-10º Pav.-Sala Elétrica W3</v>
      </c>
      <c r="B47" s="91" t="s">
        <v>148</v>
      </c>
      <c r="C47" s="92" t="s">
        <v>135</v>
      </c>
      <c r="D47" s="96"/>
      <c r="E47" s="94" t="s">
        <v>136</v>
      </c>
      <c r="G47" s="95"/>
      <c r="I47" s="95"/>
    </row>
    <row r="48" ht="22.5" customHeight="1">
      <c r="A48" s="90" t="str">
        <f t="shared" si="1"/>
        <v>TJ-11º Pav.-</v>
      </c>
      <c r="B48" s="91" t="s">
        <v>149</v>
      </c>
      <c r="C48" s="92"/>
      <c r="D48" s="96"/>
      <c r="E48" s="94"/>
      <c r="G48" s="95"/>
      <c r="I48" s="95"/>
    </row>
    <row r="49" ht="22.5" customHeight="1">
      <c r="A49" s="90" t="str">
        <f t="shared" si="1"/>
        <v>TJ-11º Pav.-Sala Elétrica E2</v>
      </c>
      <c r="B49" s="91" t="s">
        <v>149</v>
      </c>
      <c r="C49" s="92" t="s">
        <v>129</v>
      </c>
      <c r="D49" s="93"/>
      <c r="E49" s="94" t="s">
        <v>130</v>
      </c>
      <c r="G49" s="92"/>
      <c r="I49" s="95"/>
    </row>
    <row r="50" ht="22.5" customHeight="1">
      <c r="A50" s="90" t="str">
        <f t="shared" si="1"/>
        <v>TJ-11º Pav.-Sala Elétrica E3</v>
      </c>
      <c r="B50" s="91" t="s">
        <v>149</v>
      </c>
      <c r="C50" s="92" t="s">
        <v>131</v>
      </c>
      <c r="D50" s="93"/>
      <c r="E50" s="94" t="s">
        <v>132</v>
      </c>
      <c r="G50" s="92"/>
      <c r="I50" s="95"/>
    </row>
    <row r="51" ht="22.5" customHeight="1">
      <c r="A51" s="90" t="str">
        <f t="shared" si="1"/>
        <v>TJ-11º Pav.-Sala Elétrica W2</v>
      </c>
      <c r="B51" s="91" t="s">
        <v>149</v>
      </c>
      <c r="C51" s="92" t="s">
        <v>133</v>
      </c>
      <c r="D51" s="93"/>
      <c r="E51" s="94" t="s">
        <v>134</v>
      </c>
      <c r="G51" s="92"/>
      <c r="I51" s="95"/>
    </row>
    <row r="52" ht="22.5" customHeight="1">
      <c r="A52" s="90" t="str">
        <f t="shared" si="1"/>
        <v>TJ-11º Pav.-Sala Elétrica W3</v>
      </c>
      <c r="B52" s="91" t="s">
        <v>149</v>
      </c>
      <c r="C52" s="92" t="s">
        <v>135</v>
      </c>
      <c r="D52" s="93"/>
      <c r="E52" s="94" t="s">
        <v>136</v>
      </c>
      <c r="G52" s="92"/>
      <c r="I52" s="95"/>
    </row>
    <row r="53" ht="22.5" customHeight="1">
      <c r="A53" s="90" t="str">
        <f t="shared" si="1"/>
        <v>TJ-12º Pav.-</v>
      </c>
      <c r="B53" s="91" t="s">
        <v>150</v>
      </c>
      <c r="C53" s="92"/>
      <c r="D53" s="93"/>
      <c r="E53" s="94"/>
      <c r="G53" s="92"/>
      <c r="I53" s="95"/>
    </row>
    <row r="54" ht="22.5" customHeight="1">
      <c r="A54" s="90" t="str">
        <f t="shared" si="1"/>
        <v>TJ-12º Pav.-Sala Elétrica E2</v>
      </c>
      <c r="B54" s="91" t="s">
        <v>150</v>
      </c>
      <c r="C54" s="92" t="s">
        <v>129</v>
      </c>
      <c r="D54" s="93"/>
      <c r="E54" s="94" t="s">
        <v>130</v>
      </c>
      <c r="G54" s="92"/>
      <c r="I54" s="95"/>
    </row>
    <row r="55" ht="22.5" customHeight="1">
      <c r="A55" s="90" t="str">
        <f t="shared" si="1"/>
        <v>TJ-12º Pav.-Sala Elétrica E3</v>
      </c>
      <c r="B55" s="91" t="s">
        <v>150</v>
      </c>
      <c r="C55" s="92" t="s">
        <v>131</v>
      </c>
      <c r="D55" s="93"/>
      <c r="E55" s="94" t="s">
        <v>132</v>
      </c>
      <c r="G55" s="92"/>
      <c r="I55" s="95"/>
    </row>
    <row r="56" ht="22.5" customHeight="1">
      <c r="A56" s="90" t="str">
        <f t="shared" si="1"/>
        <v>TJ-12º Pav.-Sala Elétrica W2</v>
      </c>
      <c r="B56" s="91" t="s">
        <v>150</v>
      </c>
      <c r="C56" s="92" t="s">
        <v>133</v>
      </c>
      <c r="D56" s="93"/>
      <c r="E56" s="94" t="s">
        <v>134</v>
      </c>
      <c r="G56" s="92"/>
      <c r="I56" s="98" t="s">
        <v>151</v>
      </c>
    </row>
    <row r="57" ht="22.5" customHeight="1">
      <c r="A57" s="90" t="str">
        <f t="shared" si="1"/>
        <v>TJ-12º Pav.-Sala Elétrica W3</v>
      </c>
      <c r="B57" s="91" t="s">
        <v>150</v>
      </c>
      <c r="C57" s="92" t="s">
        <v>135</v>
      </c>
      <c r="D57" s="93"/>
      <c r="E57" s="94" t="s">
        <v>136</v>
      </c>
      <c r="G57" s="92"/>
      <c r="I57" s="95"/>
    </row>
    <row r="58" ht="22.5" customHeight="1">
      <c r="A58" s="90" t="str">
        <f t="shared" si="1"/>
        <v>TJ-13º Pav.-</v>
      </c>
      <c r="B58" s="91" t="s">
        <v>152</v>
      </c>
      <c r="C58" s="92"/>
      <c r="D58" s="93"/>
      <c r="E58" s="94"/>
      <c r="G58" s="92"/>
      <c r="I58" s="95"/>
    </row>
    <row r="59" ht="22.5" customHeight="1">
      <c r="A59" s="90" t="str">
        <f t="shared" si="1"/>
        <v>TJ-13º Pav.-Sala Elétrica E2</v>
      </c>
      <c r="B59" s="91" t="s">
        <v>152</v>
      </c>
      <c r="C59" s="92" t="s">
        <v>129</v>
      </c>
      <c r="D59" s="93"/>
      <c r="E59" s="94" t="s">
        <v>130</v>
      </c>
      <c r="G59" s="92"/>
      <c r="I59" s="95"/>
    </row>
    <row r="60" ht="22.5" customHeight="1">
      <c r="A60" s="90" t="str">
        <f t="shared" si="1"/>
        <v>TJ-13º Pav.-Sala Elétrica E3</v>
      </c>
      <c r="B60" s="91" t="s">
        <v>152</v>
      </c>
      <c r="C60" s="92" t="s">
        <v>131</v>
      </c>
      <c r="D60" s="93"/>
      <c r="E60" s="94" t="s">
        <v>132</v>
      </c>
      <c r="G60" s="92"/>
      <c r="I60" s="95"/>
    </row>
    <row r="61" ht="22.5" customHeight="1">
      <c r="A61" s="90" t="str">
        <f t="shared" si="1"/>
        <v>TJ-13º Pav.-Sala Elétrica W2</v>
      </c>
      <c r="B61" s="91" t="s">
        <v>152</v>
      </c>
      <c r="C61" s="92" t="s">
        <v>133</v>
      </c>
      <c r="D61" s="93"/>
      <c r="E61" s="94" t="s">
        <v>134</v>
      </c>
      <c r="G61" s="92"/>
      <c r="I61" s="95"/>
    </row>
    <row r="62" ht="22.5" customHeight="1">
      <c r="A62" s="90" t="str">
        <f t="shared" si="1"/>
        <v>TJ-13º Pav.-Sala Elétrica W3</v>
      </c>
      <c r="B62" s="91" t="s">
        <v>152</v>
      </c>
      <c r="C62" s="92" t="s">
        <v>135</v>
      </c>
      <c r="D62" s="93"/>
      <c r="E62" s="94" t="s">
        <v>136</v>
      </c>
      <c r="G62" s="92"/>
      <c r="I62" s="95"/>
    </row>
    <row r="63" ht="22.5" customHeight="1">
      <c r="A63" s="90" t="str">
        <f t="shared" si="1"/>
        <v>TJ.ANX-2º Pav.-Sala Elétrica - NORTE</v>
      </c>
      <c r="B63" s="91" t="s">
        <v>153</v>
      </c>
      <c r="C63" s="92" t="s">
        <v>154</v>
      </c>
      <c r="D63" s="93"/>
      <c r="E63" s="94" t="s">
        <v>155</v>
      </c>
      <c r="G63" s="92"/>
      <c r="I63" s="95"/>
    </row>
    <row r="64" ht="22.5" customHeight="1">
      <c r="A64" s="90" t="str">
        <f t="shared" si="1"/>
        <v>TJ.ANX-2º Pav.-Sala Elétrica - SUL</v>
      </c>
      <c r="B64" s="91" t="s">
        <v>153</v>
      </c>
      <c r="C64" s="92" t="s">
        <v>156</v>
      </c>
      <c r="D64" s="93"/>
      <c r="E64" s="94" t="s">
        <v>157</v>
      </c>
      <c r="G64" s="92"/>
      <c r="I64" s="95"/>
    </row>
    <row r="65" ht="22.5" customHeight="1">
      <c r="A65" s="90" t="str">
        <f t="shared" si="1"/>
        <v>TJ.ANX-SS1-Sala Elétrica - NORTE</v>
      </c>
      <c r="B65" s="91" t="s">
        <v>158</v>
      </c>
      <c r="C65" s="92" t="s">
        <v>154</v>
      </c>
      <c r="D65" s="93"/>
      <c r="E65" s="94" t="s">
        <v>155</v>
      </c>
      <c r="G65" s="92"/>
      <c r="I65" s="95"/>
    </row>
    <row r="66" ht="22.5" customHeight="1">
      <c r="A66" s="90" t="str">
        <f t="shared" si="1"/>
        <v>TJ.ANX-SS1-Sala Elétrica - SUL</v>
      </c>
      <c r="B66" s="91" t="s">
        <v>158</v>
      </c>
      <c r="C66" s="92" t="s">
        <v>156</v>
      </c>
      <c r="D66" s="93"/>
      <c r="E66" s="94" t="s">
        <v>157</v>
      </c>
      <c r="G66" s="92"/>
      <c r="I66" s="95"/>
    </row>
    <row r="67" ht="22.5" customHeight="1">
      <c r="A67" s="90" t="str">
        <f t="shared" si="1"/>
        <v>TJ.ANX-SS2-Sala Elétrica - NORTE</v>
      </c>
      <c r="B67" s="91" t="s">
        <v>159</v>
      </c>
      <c r="C67" s="92" t="s">
        <v>154</v>
      </c>
      <c r="D67" s="93"/>
      <c r="E67" s="94" t="s">
        <v>155</v>
      </c>
      <c r="G67" s="92"/>
      <c r="I67" s="95"/>
    </row>
    <row r="68" ht="22.5" customHeight="1">
      <c r="A68" s="90" t="str">
        <f t="shared" si="1"/>
        <v>TJ.ANX-SS2-Sala Elétrica - SUL</v>
      </c>
      <c r="B68" s="91" t="s">
        <v>159</v>
      </c>
      <c r="C68" s="92" t="s">
        <v>156</v>
      </c>
      <c r="D68" s="93"/>
      <c r="E68" s="94" t="s">
        <v>157</v>
      </c>
      <c r="G68" s="92"/>
      <c r="I68" s="95"/>
    </row>
    <row r="69" ht="22.5" customHeight="1">
      <c r="A69" s="90" t="str">
        <f t="shared" si="1"/>
        <v>TJ.ANX-SS3-Sala Elétrica - NORTE</v>
      </c>
      <c r="B69" s="91" t="s">
        <v>160</v>
      </c>
      <c r="C69" s="92" t="s">
        <v>154</v>
      </c>
      <c r="D69" s="93"/>
      <c r="E69" s="94" t="s">
        <v>155</v>
      </c>
      <c r="G69" s="92"/>
    </row>
    <row r="70" ht="22.5" customHeight="1">
      <c r="A70" s="90" t="str">
        <f t="shared" si="1"/>
        <v>TJ.ANX-SS3-Sala Elétrica - SUL</v>
      </c>
      <c r="B70" s="91" t="s">
        <v>160</v>
      </c>
      <c r="C70" s="92" t="s">
        <v>156</v>
      </c>
      <c r="D70" s="93"/>
      <c r="E70" s="94" t="s">
        <v>157</v>
      </c>
      <c r="G70" s="92"/>
      <c r="I70" s="95"/>
    </row>
    <row r="71" ht="22.5" customHeight="1">
      <c r="A71" s="90" t="str">
        <f t="shared" si="1"/>
        <v>TJ.ANX-Térreo-Sala Elétrica - NORTE</v>
      </c>
      <c r="B71" s="91" t="s">
        <v>161</v>
      </c>
      <c r="C71" s="92" t="s">
        <v>154</v>
      </c>
      <c r="D71" s="93"/>
      <c r="E71" s="94" t="s">
        <v>155</v>
      </c>
      <c r="G71" s="92"/>
      <c r="I71" s="95"/>
    </row>
    <row r="72" ht="22.5" customHeight="1">
      <c r="A72" s="90" t="str">
        <f t="shared" si="1"/>
        <v>TJ.ANX-Térreo-Sala Elétrica - SUL</v>
      </c>
      <c r="B72" s="91" t="s">
        <v>161</v>
      </c>
      <c r="C72" s="92" t="s">
        <v>156</v>
      </c>
      <c r="D72" s="93"/>
      <c r="E72" s="94" t="s">
        <v>157</v>
      </c>
      <c r="F72" s="95">
        <v>1.0</v>
      </c>
      <c r="G72" s="92" t="s">
        <v>162</v>
      </c>
      <c r="H72" s="95" t="s">
        <v>163</v>
      </c>
      <c r="I72" s="95" t="s">
        <v>164</v>
      </c>
    </row>
    <row r="73" ht="22.5" customHeight="1">
      <c r="A73" s="90"/>
      <c r="B73" s="99"/>
      <c r="D73" s="93"/>
      <c r="E73" s="94"/>
      <c r="G73" s="92"/>
      <c r="I73" s="95"/>
    </row>
    <row r="74" ht="22.5" customHeight="1">
      <c r="A74" s="90"/>
      <c r="B74" s="99"/>
      <c r="D74" s="93"/>
      <c r="E74" s="94"/>
      <c r="G74" s="92"/>
      <c r="I74" s="95"/>
    </row>
    <row r="75" ht="22.5" customHeight="1">
      <c r="A75" s="90"/>
      <c r="B75" s="99"/>
      <c r="D75" s="93"/>
      <c r="E75" s="94"/>
      <c r="G75" s="92"/>
      <c r="I75" s="95"/>
    </row>
    <row r="76" ht="22.5" customHeight="1">
      <c r="A76" s="90"/>
      <c r="B76" s="99"/>
      <c r="D76" s="93"/>
      <c r="E76" s="94"/>
      <c r="G76" s="92"/>
      <c r="I76" s="95"/>
    </row>
    <row r="77" ht="22.5" customHeight="1">
      <c r="A77" s="90"/>
      <c r="B77" s="99"/>
      <c r="D77" s="93"/>
      <c r="E77" s="94"/>
      <c r="G77" s="92"/>
      <c r="I77" s="95"/>
    </row>
    <row r="78" ht="22.5" customHeight="1">
      <c r="A78" s="90"/>
      <c r="B78" s="99"/>
      <c r="D78" s="93"/>
      <c r="E78" s="94"/>
      <c r="G78" s="92"/>
      <c r="I78" s="95"/>
    </row>
    <row r="79" ht="22.5" customHeight="1">
      <c r="A79" s="90"/>
      <c r="B79" s="99"/>
      <c r="D79" s="93"/>
      <c r="E79" s="94"/>
      <c r="G79" s="92"/>
      <c r="I79" s="95"/>
    </row>
    <row r="80" ht="22.5" customHeight="1">
      <c r="A80" s="90"/>
      <c r="B80" s="99"/>
      <c r="D80" s="93"/>
      <c r="E80" s="94"/>
      <c r="G80" s="92"/>
      <c r="I80" s="95"/>
    </row>
    <row r="81" ht="22.5" customHeight="1">
      <c r="A81" s="90"/>
      <c r="B81" s="99"/>
      <c r="D81" s="93"/>
      <c r="E81" s="94"/>
      <c r="G81" s="92"/>
      <c r="I81" s="95"/>
    </row>
    <row r="82" ht="22.5" customHeight="1">
      <c r="A82" s="90"/>
      <c r="B82" s="99"/>
      <c r="D82" s="93"/>
      <c r="E82" s="94"/>
      <c r="G82" s="92"/>
      <c r="I82" s="95"/>
    </row>
    <row r="83" ht="22.5" customHeight="1">
      <c r="A83" s="90"/>
      <c r="B83" s="99"/>
      <c r="D83" s="93"/>
      <c r="E83" s="94"/>
      <c r="G83" s="92"/>
      <c r="I83" s="95"/>
    </row>
    <row r="84" ht="22.5" customHeight="1">
      <c r="A84" s="90"/>
      <c r="B84" s="99"/>
      <c r="D84" s="93"/>
      <c r="E84" s="94"/>
      <c r="G84" s="92"/>
      <c r="I84" s="95"/>
    </row>
    <row r="85" ht="22.5" customHeight="1">
      <c r="A85" s="90"/>
      <c r="B85" s="99"/>
      <c r="D85" s="93"/>
      <c r="E85" s="94"/>
      <c r="G85" s="92"/>
      <c r="I85" s="95"/>
    </row>
    <row r="86" ht="22.5" customHeight="1">
      <c r="A86" s="90"/>
      <c r="B86" s="99"/>
      <c r="D86" s="93"/>
      <c r="E86" s="94"/>
      <c r="G86" s="92"/>
      <c r="I86" s="95"/>
    </row>
    <row r="87" ht="22.5" customHeight="1">
      <c r="A87" s="90"/>
      <c r="B87" s="99"/>
      <c r="D87" s="93"/>
      <c r="E87" s="94"/>
      <c r="G87" s="92"/>
      <c r="I87" s="95"/>
    </row>
    <row r="88" ht="22.5" customHeight="1">
      <c r="A88" s="90"/>
      <c r="B88" s="99"/>
      <c r="D88" s="93"/>
      <c r="E88" s="94"/>
      <c r="G88" s="92"/>
      <c r="I88" s="95"/>
    </row>
    <row r="89" ht="22.5" customHeight="1">
      <c r="A89" s="90"/>
      <c r="B89" s="99"/>
      <c r="D89" s="93"/>
      <c r="E89" s="94"/>
      <c r="G89" s="92"/>
      <c r="I89" s="95"/>
    </row>
    <row r="90" ht="22.5" customHeight="1">
      <c r="A90" s="90"/>
      <c r="B90" s="99"/>
      <c r="D90" s="93"/>
      <c r="E90" s="94"/>
      <c r="G90" s="92"/>
      <c r="I90" s="95"/>
    </row>
    <row r="91" ht="22.5" customHeight="1">
      <c r="A91" s="90"/>
      <c r="B91" s="99"/>
      <c r="D91" s="93"/>
      <c r="E91" s="94"/>
      <c r="G91" s="92"/>
      <c r="I91" s="95"/>
    </row>
    <row r="92" ht="22.5" customHeight="1">
      <c r="A92" s="90"/>
      <c r="B92" s="99"/>
      <c r="D92" s="93"/>
      <c r="E92" s="94"/>
      <c r="G92" s="92"/>
      <c r="I92" s="95"/>
    </row>
    <row r="93" ht="22.5" customHeight="1">
      <c r="A93" s="90"/>
      <c r="B93" s="99"/>
      <c r="D93" s="93"/>
      <c r="E93" s="94"/>
      <c r="G93" s="92"/>
      <c r="I93" s="95"/>
    </row>
    <row r="94" ht="22.5" customHeight="1">
      <c r="A94" s="90"/>
      <c r="B94" s="99"/>
      <c r="D94" s="93"/>
      <c r="E94" s="94"/>
      <c r="G94" s="92"/>
      <c r="I94" s="95"/>
    </row>
    <row r="95" ht="22.5" customHeight="1">
      <c r="A95" s="90"/>
      <c r="B95" s="99"/>
      <c r="D95" s="93"/>
      <c r="E95" s="94"/>
      <c r="G95" s="92"/>
      <c r="I95" s="95"/>
    </row>
    <row r="96" ht="22.5" customHeight="1">
      <c r="A96" s="90"/>
      <c r="B96" s="99"/>
      <c r="D96" s="93"/>
      <c r="E96" s="94"/>
      <c r="G96" s="92"/>
      <c r="I96" s="95"/>
    </row>
    <row r="97" ht="22.5" customHeight="1">
      <c r="A97" s="90"/>
      <c r="B97" s="99"/>
      <c r="D97" s="93"/>
      <c r="E97" s="94"/>
      <c r="G97" s="92"/>
      <c r="I97" s="95"/>
    </row>
    <row r="98" ht="22.5" customHeight="1">
      <c r="A98" s="90"/>
      <c r="B98" s="99"/>
      <c r="D98" s="93"/>
      <c r="E98" s="94"/>
      <c r="G98" s="92"/>
      <c r="I98" s="95"/>
    </row>
    <row r="99" ht="22.5" customHeight="1">
      <c r="A99" s="90"/>
      <c r="B99" s="99"/>
      <c r="D99" s="93"/>
      <c r="E99" s="94"/>
      <c r="G99" s="92"/>
      <c r="I99" s="95"/>
    </row>
    <row r="100" ht="22.5" customHeight="1">
      <c r="A100" s="90"/>
      <c r="B100" s="99"/>
      <c r="D100" s="93"/>
      <c r="E100" s="94"/>
      <c r="G100" s="92"/>
      <c r="I100" s="95"/>
    </row>
    <row r="101" ht="22.5" customHeight="1">
      <c r="A101" s="90"/>
      <c r="B101" s="99"/>
      <c r="D101" s="93"/>
      <c r="E101" s="94"/>
      <c r="G101" s="92"/>
      <c r="I101" s="95"/>
    </row>
    <row r="102" ht="22.5" customHeight="1">
      <c r="A102" s="90"/>
      <c r="B102" s="99"/>
      <c r="D102" s="93"/>
      <c r="E102" s="94"/>
      <c r="G102" s="92"/>
      <c r="I102" s="95"/>
    </row>
    <row r="103" ht="22.5" customHeight="1">
      <c r="A103" s="90"/>
      <c r="B103" s="99"/>
      <c r="D103" s="93"/>
      <c r="E103" s="94"/>
      <c r="G103" s="92"/>
      <c r="I103" s="95"/>
    </row>
    <row r="104" ht="22.5" customHeight="1">
      <c r="A104" s="90"/>
      <c r="B104" s="99"/>
      <c r="D104" s="93"/>
      <c r="E104" s="94"/>
      <c r="G104" s="92"/>
      <c r="I104" s="95"/>
    </row>
    <row r="105" ht="22.5" customHeight="1">
      <c r="A105" s="90"/>
      <c r="B105" s="99"/>
      <c r="D105" s="93"/>
      <c r="E105" s="94"/>
      <c r="G105" s="92"/>
      <c r="I105" s="95"/>
    </row>
    <row r="106" ht="22.5" customHeight="1">
      <c r="A106" s="90"/>
      <c r="B106" s="99"/>
      <c r="D106" s="93"/>
      <c r="E106" s="94"/>
      <c r="G106" s="92"/>
      <c r="I106" s="95"/>
    </row>
    <row r="107" ht="22.5" customHeight="1">
      <c r="A107" s="90"/>
      <c r="B107" s="99"/>
      <c r="D107" s="93"/>
      <c r="E107" s="94"/>
      <c r="G107" s="92"/>
      <c r="I107" s="95"/>
    </row>
    <row r="108" ht="22.5" customHeight="1">
      <c r="A108" s="90"/>
      <c r="B108" s="99"/>
      <c r="D108" s="93"/>
      <c r="E108" s="94"/>
      <c r="G108" s="92"/>
      <c r="I108" s="95"/>
    </row>
    <row r="109" ht="22.5" customHeight="1">
      <c r="A109" s="90"/>
      <c r="B109" s="99"/>
      <c r="D109" s="93"/>
      <c r="E109" s="94"/>
      <c r="G109" s="92"/>
      <c r="I109" s="95"/>
    </row>
    <row r="110" ht="22.5" customHeight="1">
      <c r="A110" s="90"/>
      <c r="B110" s="99"/>
      <c r="D110" s="93"/>
      <c r="E110" s="94"/>
      <c r="G110" s="92"/>
      <c r="I110" s="95"/>
    </row>
    <row r="111" ht="22.5" customHeight="1">
      <c r="A111" s="90"/>
      <c r="B111" s="99"/>
      <c r="D111" s="93"/>
      <c r="E111" s="94"/>
      <c r="G111" s="92"/>
      <c r="I111" s="95"/>
    </row>
    <row r="112" ht="22.5" customHeight="1">
      <c r="A112" s="90"/>
      <c r="B112" s="99"/>
      <c r="D112" s="93"/>
      <c r="E112" s="94"/>
      <c r="G112" s="92"/>
      <c r="I112" s="95"/>
    </row>
    <row r="113" ht="22.5" customHeight="1">
      <c r="A113" s="90"/>
      <c r="B113" s="99"/>
      <c r="D113" s="93"/>
      <c r="E113" s="94"/>
      <c r="G113" s="92"/>
      <c r="I113" s="95"/>
    </row>
    <row r="114" ht="22.5" customHeight="1">
      <c r="A114" s="90"/>
      <c r="B114" s="99"/>
      <c r="D114" s="93"/>
      <c r="E114" s="94"/>
      <c r="G114" s="92"/>
      <c r="I114" s="95"/>
    </row>
    <row r="115" ht="22.5" customHeight="1">
      <c r="A115" s="90"/>
      <c r="B115" s="99"/>
      <c r="D115" s="93"/>
      <c r="E115" s="94"/>
      <c r="G115" s="92"/>
      <c r="I115" s="95"/>
    </row>
    <row r="116" ht="22.5" customHeight="1">
      <c r="A116" s="90"/>
      <c r="B116" s="99"/>
      <c r="D116" s="93"/>
      <c r="E116" s="94"/>
      <c r="G116" s="92"/>
      <c r="I116" s="95"/>
    </row>
    <row r="117" ht="22.5" customHeight="1">
      <c r="A117" s="90"/>
      <c r="B117" s="99"/>
      <c r="D117" s="93"/>
      <c r="E117" s="94"/>
      <c r="G117" s="92"/>
      <c r="I117" s="95"/>
    </row>
  </sheetData>
  <dataValidations>
    <dataValidation type="list" allowBlank="1" sqref="D3:D117">
      <formula1>#REF!</formula1>
    </dataValidation>
    <dataValidation type="list" allowBlank="1" sqref="E3:E62 E73:E117">
      <formula1>"W1,W2,W3,W4,E1,E2,E3,E4"</formula1>
    </dataValidation>
    <dataValidation type="list" allowBlank="1" sqref="B3:B117">
      <formula1>#REF!</formula1>
    </dataValidation>
    <dataValidation type="list" allowBlank="1" sqref="E63:E72">
      <formula1>"W1,W2,W3,W4,E1,E2,E3,E4,SUL,NORTE"</formula1>
    </dataValidation>
  </dataValidations>
  <hyperlinks>
    <hyperlink r:id="rId1" ref="I14"/>
    <hyperlink r:id="rId2" ref="I15"/>
    <hyperlink r:id="rId3" ref="I16"/>
    <hyperlink r:id="rId4" ref="I17"/>
    <hyperlink r:id="rId5" ref="I56"/>
  </hyperlinks>
  <printOptions/>
  <pageMargins bottom="0.787401575" footer="0.0" header="0.0" left="0.511811024" right="0.511811024" top="0.787401575"/>
  <pageSetup orientation="landscape"/>
  <drawing r:id="rId6"/>
  <tableParts count="1"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4.43" defaultRowHeight="15.0"/>
  <cols>
    <col customWidth="1" min="2" max="2" width="18.57"/>
    <col customWidth="1" min="3" max="3" width="22.43"/>
    <col customWidth="1" min="4" max="4" width="17.14"/>
    <col customWidth="1" min="5" max="5" width="20.14"/>
    <col customWidth="1" min="7" max="7" width="13.14"/>
  </cols>
  <sheetData>
    <row r="1">
      <c r="A1" s="100" t="s">
        <v>5</v>
      </c>
      <c r="B1" s="100" t="s">
        <v>165</v>
      </c>
      <c r="C1" s="100" t="s">
        <v>166</v>
      </c>
      <c r="D1" s="101"/>
      <c r="E1" s="100" t="s">
        <v>167</v>
      </c>
      <c r="F1" s="101"/>
      <c r="G1" s="102" t="s">
        <v>118</v>
      </c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A2" s="103" t="s">
        <v>168</v>
      </c>
      <c r="B2" s="103" t="s">
        <v>169</v>
      </c>
      <c r="C2" s="103" t="s">
        <v>170</v>
      </c>
      <c r="E2" s="104" t="s">
        <v>26</v>
      </c>
      <c r="G2" s="104" t="s">
        <v>171</v>
      </c>
    </row>
    <row r="3">
      <c r="A3" s="103" t="s">
        <v>25</v>
      </c>
      <c r="B3" s="103" t="s">
        <v>172</v>
      </c>
      <c r="C3" s="103" t="s">
        <v>173</v>
      </c>
      <c r="E3" s="104" t="s">
        <v>36</v>
      </c>
      <c r="G3" s="104" t="s">
        <v>128</v>
      </c>
    </row>
    <row r="4">
      <c r="A4" s="104" t="s">
        <v>174</v>
      </c>
      <c r="B4" s="104"/>
      <c r="C4" s="104" t="s">
        <v>175</v>
      </c>
      <c r="E4" s="104" t="s">
        <v>176</v>
      </c>
      <c r="G4" s="104" t="s">
        <v>137</v>
      </c>
    </row>
    <row r="5">
      <c r="A5" s="103" t="s">
        <v>177</v>
      </c>
      <c r="B5" s="103"/>
      <c r="C5" s="103" t="s">
        <v>178</v>
      </c>
      <c r="E5" s="104"/>
      <c r="G5" s="104" t="s">
        <v>138</v>
      </c>
    </row>
    <row r="6">
      <c r="A6" s="103"/>
      <c r="B6" s="103"/>
      <c r="C6" s="103" t="s">
        <v>179</v>
      </c>
      <c r="E6" s="104"/>
      <c r="G6" s="104" t="s">
        <v>143</v>
      </c>
    </row>
    <row r="7">
      <c r="A7" s="103"/>
      <c r="B7" s="103"/>
      <c r="C7" s="103" t="s">
        <v>180</v>
      </c>
      <c r="E7" s="104"/>
      <c r="G7" s="104" t="s">
        <v>144</v>
      </c>
    </row>
    <row r="8">
      <c r="A8" s="103"/>
      <c r="B8" s="103"/>
      <c r="C8" s="103" t="s">
        <v>181</v>
      </c>
      <c r="E8" s="104"/>
      <c r="G8" s="104" t="s">
        <v>145</v>
      </c>
    </row>
    <row r="9">
      <c r="A9" s="103"/>
      <c r="B9" s="103"/>
      <c r="C9" s="103" t="s">
        <v>182</v>
      </c>
      <c r="E9" s="103"/>
      <c r="G9" s="104" t="s">
        <v>146</v>
      </c>
    </row>
    <row r="10">
      <c r="A10" s="103"/>
      <c r="B10" s="103"/>
      <c r="C10" s="103"/>
      <c r="E10" s="103"/>
      <c r="G10" s="104" t="s">
        <v>147</v>
      </c>
    </row>
    <row r="11">
      <c r="A11" s="103"/>
      <c r="B11" s="103"/>
      <c r="C11" s="103"/>
      <c r="E11" s="103"/>
      <c r="G11" s="104" t="s">
        <v>148</v>
      </c>
    </row>
    <row r="12">
      <c r="A12" s="103"/>
      <c r="B12" s="103"/>
      <c r="C12" s="103"/>
      <c r="E12" s="103"/>
      <c r="G12" s="104" t="s">
        <v>149</v>
      </c>
    </row>
    <row r="13">
      <c r="A13" s="103"/>
      <c r="B13" s="103"/>
      <c r="C13" s="103"/>
      <c r="E13" s="103"/>
      <c r="G13" s="104" t="s">
        <v>150</v>
      </c>
    </row>
    <row r="14">
      <c r="A14" s="105"/>
      <c r="B14" s="105"/>
      <c r="C14" s="105"/>
      <c r="E14" s="105"/>
      <c r="G14" s="104" t="s">
        <v>152</v>
      </c>
    </row>
    <row r="15">
      <c r="A15" s="105"/>
      <c r="B15" s="105"/>
      <c r="C15" s="105"/>
      <c r="E15" s="105"/>
      <c r="G15" s="104" t="s">
        <v>183</v>
      </c>
    </row>
    <row r="16">
      <c r="A16" s="105"/>
      <c r="B16" s="105"/>
      <c r="C16" s="105"/>
      <c r="E16" s="105"/>
      <c r="G16" s="104" t="s">
        <v>184</v>
      </c>
    </row>
    <row r="17">
      <c r="A17" s="105"/>
      <c r="B17" s="105"/>
      <c r="C17" s="105"/>
      <c r="E17" s="105"/>
      <c r="G17" s="104" t="s">
        <v>153</v>
      </c>
    </row>
    <row r="18">
      <c r="A18" s="105"/>
      <c r="B18" s="105"/>
      <c r="C18" s="105"/>
      <c r="E18" s="105"/>
      <c r="G18" s="104" t="s">
        <v>161</v>
      </c>
    </row>
    <row r="19">
      <c r="A19" s="105"/>
      <c r="B19" s="105"/>
      <c r="C19" s="105"/>
      <c r="E19" s="105"/>
      <c r="G19" s="104" t="s">
        <v>158</v>
      </c>
    </row>
    <row r="20">
      <c r="A20" s="105"/>
      <c r="B20" s="105"/>
      <c r="C20" s="105"/>
      <c r="E20" s="105"/>
      <c r="G20" s="104" t="s">
        <v>159</v>
      </c>
    </row>
    <row r="21">
      <c r="A21" s="105"/>
      <c r="B21" s="105"/>
      <c r="C21" s="105"/>
      <c r="E21" s="105"/>
      <c r="G21" s="104" t="s">
        <v>160</v>
      </c>
    </row>
    <row r="22">
      <c r="A22" s="105"/>
      <c r="B22" s="105"/>
      <c r="C22" s="105"/>
      <c r="E22" s="105"/>
      <c r="G22" s="105"/>
    </row>
    <row r="23">
      <c r="A23" s="105"/>
      <c r="B23" s="105"/>
      <c r="C23" s="105"/>
      <c r="E23" s="105"/>
      <c r="G23" s="105"/>
    </row>
    <row r="24">
      <c r="A24" s="105"/>
      <c r="B24" s="105"/>
      <c r="C24" s="105"/>
      <c r="E24" s="105"/>
      <c r="G24" s="105"/>
    </row>
    <row r="25">
      <c r="A25" s="105"/>
      <c r="B25" s="105"/>
      <c r="C25" s="105"/>
      <c r="E25" s="105"/>
      <c r="G25" s="105"/>
    </row>
    <row r="26">
      <c r="A26" s="105"/>
      <c r="B26" s="105"/>
      <c r="C26" s="105"/>
      <c r="E26" s="105"/>
      <c r="G26" s="105"/>
    </row>
    <row r="27">
      <c r="A27" s="105"/>
      <c r="B27" s="105"/>
      <c r="C27" s="105"/>
      <c r="E27" s="105"/>
      <c r="G27" s="105"/>
    </row>
    <row r="28">
      <c r="A28" s="105"/>
      <c r="B28" s="105"/>
      <c r="C28" s="105"/>
      <c r="E28" s="105"/>
      <c r="G28" s="105"/>
    </row>
    <row r="29">
      <c r="A29" s="105"/>
      <c r="B29" s="105"/>
      <c r="C29" s="105"/>
      <c r="E29" s="105"/>
      <c r="G29" s="105"/>
    </row>
    <row r="30">
      <c r="A30" s="105"/>
      <c r="B30" s="105"/>
      <c r="C30" s="105"/>
      <c r="E30" s="105"/>
      <c r="G30" s="105"/>
    </row>
    <row r="31">
      <c r="A31" s="105"/>
      <c r="B31" s="105"/>
      <c r="C31" s="105"/>
      <c r="E31" s="105"/>
      <c r="G31" s="105"/>
    </row>
    <row r="32">
      <c r="A32" s="105"/>
      <c r="B32" s="105"/>
      <c r="C32" s="105"/>
      <c r="E32" s="105"/>
      <c r="G32" s="105"/>
    </row>
    <row r="33">
      <c r="A33" s="105"/>
      <c r="B33" s="105"/>
      <c r="C33" s="105"/>
      <c r="E33" s="105"/>
      <c r="G33" s="105"/>
    </row>
    <row r="34">
      <c r="A34" s="105"/>
      <c r="B34" s="105"/>
      <c r="C34" s="105"/>
      <c r="E34" s="105"/>
      <c r="G34" s="105"/>
    </row>
    <row r="35">
      <c r="A35" s="105"/>
      <c r="B35" s="105"/>
      <c r="C35" s="105"/>
      <c r="E35" s="105"/>
      <c r="G35" s="105"/>
    </row>
    <row r="36">
      <c r="A36" s="105"/>
      <c r="B36" s="105"/>
      <c r="C36" s="105"/>
      <c r="E36" s="105"/>
      <c r="G36" s="105"/>
    </row>
    <row r="37">
      <c r="A37" s="105"/>
      <c r="B37" s="105"/>
      <c r="C37" s="105"/>
      <c r="E37" s="105"/>
      <c r="G37" s="105"/>
    </row>
    <row r="38">
      <c r="A38" s="105"/>
      <c r="B38" s="105"/>
      <c r="C38" s="105"/>
      <c r="E38" s="105"/>
      <c r="G38" s="105"/>
    </row>
    <row r="39">
      <c r="A39" s="105"/>
      <c r="B39" s="105"/>
      <c r="C39" s="105"/>
      <c r="E39" s="105"/>
      <c r="G39" s="105"/>
    </row>
    <row r="40">
      <c r="A40" s="105"/>
      <c r="B40" s="105"/>
      <c r="C40" s="105"/>
      <c r="E40" s="105"/>
      <c r="G40" s="105"/>
    </row>
    <row r="41">
      <c r="A41" s="105"/>
      <c r="B41" s="105"/>
      <c r="C41" s="105"/>
      <c r="E41" s="105"/>
      <c r="G41" s="105"/>
    </row>
    <row r="42">
      <c r="A42" s="105"/>
      <c r="B42" s="105"/>
      <c r="C42" s="105"/>
      <c r="E42" s="105"/>
      <c r="G42" s="105"/>
    </row>
    <row r="43">
      <c r="A43" s="105"/>
      <c r="B43" s="105"/>
      <c r="C43" s="105"/>
      <c r="E43" s="105"/>
      <c r="G43" s="105"/>
    </row>
    <row r="44">
      <c r="A44" s="105"/>
      <c r="B44" s="105"/>
      <c r="C44" s="105"/>
      <c r="E44" s="105"/>
      <c r="G44" s="105"/>
    </row>
    <row r="45">
      <c r="A45" s="105"/>
      <c r="B45" s="105"/>
      <c r="C45" s="105"/>
      <c r="E45" s="105"/>
      <c r="G45" s="105"/>
    </row>
    <row r="46">
      <c r="A46" s="105"/>
      <c r="B46" s="105"/>
      <c r="C46" s="105"/>
      <c r="E46" s="105"/>
      <c r="G46" s="105"/>
    </row>
    <row r="47">
      <c r="A47" s="105"/>
      <c r="B47" s="105"/>
      <c r="C47" s="105"/>
      <c r="E47" s="105"/>
      <c r="G47" s="105"/>
    </row>
    <row r="48">
      <c r="A48" s="105"/>
      <c r="B48" s="105"/>
      <c r="C48" s="105"/>
      <c r="E48" s="105"/>
      <c r="G48" s="105"/>
    </row>
    <row r="49">
      <c r="A49" s="105"/>
      <c r="B49" s="105"/>
      <c r="C49" s="105"/>
      <c r="E49" s="105"/>
      <c r="G49" s="105"/>
    </row>
    <row r="50">
      <c r="A50" s="105"/>
      <c r="B50" s="105"/>
      <c r="C50" s="105"/>
      <c r="E50" s="105"/>
      <c r="G50" s="105"/>
    </row>
    <row r="51">
      <c r="A51" s="105"/>
      <c r="B51" s="105"/>
      <c r="C51" s="105"/>
      <c r="E51" s="105"/>
      <c r="G51" s="105"/>
    </row>
    <row r="52">
      <c r="A52" s="105"/>
      <c r="B52" s="105"/>
      <c r="C52" s="105"/>
      <c r="E52" s="105"/>
      <c r="G52" s="105"/>
    </row>
    <row r="53">
      <c r="A53" s="105"/>
      <c r="B53" s="105"/>
      <c r="C53" s="105"/>
      <c r="E53" s="105"/>
      <c r="G53" s="105"/>
    </row>
    <row r="54">
      <c r="A54" s="105"/>
      <c r="B54" s="105"/>
      <c r="C54" s="105"/>
      <c r="E54" s="105"/>
      <c r="G54" s="105"/>
    </row>
    <row r="55">
      <c r="A55" s="105"/>
      <c r="B55" s="105"/>
      <c r="C55" s="105"/>
      <c r="E55" s="105"/>
      <c r="G55" s="105"/>
    </row>
    <row r="56">
      <c r="A56" s="105"/>
      <c r="B56" s="105"/>
      <c r="C56" s="105"/>
      <c r="E56" s="105"/>
      <c r="G56" s="105"/>
    </row>
    <row r="57">
      <c r="A57" s="105"/>
      <c r="B57" s="105"/>
      <c r="C57" s="105"/>
      <c r="E57" s="105"/>
      <c r="G57" s="105"/>
    </row>
    <row r="58">
      <c r="A58" s="105"/>
      <c r="B58" s="105"/>
      <c r="C58" s="105"/>
      <c r="E58" s="105"/>
      <c r="G58" s="105"/>
    </row>
    <row r="59">
      <c r="A59" s="105"/>
      <c r="B59" s="105"/>
      <c r="C59" s="105"/>
      <c r="E59" s="105"/>
      <c r="G59" s="105"/>
    </row>
    <row r="60">
      <c r="A60" s="105"/>
      <c r="B60" s="105"/>
      <c r="C60" s="105"/>
      <c r="E60" s="105"/>
      <c r="G60" s="105"/>
    </row>
    <row r="61">
      <c r="A61" s="105"/>
      <c r="B61" s="105"/>
      <c r="C61" s="105"/>
      <c r="E61" s="105"/>
      <c r="G61" s="105"/>
    </row>
    <row r="62">
      <c r="A62" s="105"/>
      <c r="B62" s="105"/>
      <c r="C62" s="105"/>
      <c r="E62" s="105"/>
      <c r="G62" s="105"/>
    </row>
    <row r="63">
      <c r="A63" s="105"/>
      <c r="B63" s="105"/>
      <c r="C63" s="105"/>
      <c r="E63" s="105"/>
      <c r="G63" s="105"/>
    </row>
    <row r="64">
      <c r="A64" s="105"/>
      <c r="B64" s="105"/>
      <c r="C64" s="105"/>
      <c r="E64" s="105"/>
      <c r="G64" s="105"/>
    </row>
    <row r="65">
      <c r="A65" s="105"/>
      <c r="B65" s="105"/>
      <c r="C65" s="105"/>
      <c r="E65" s="105"/>
      <c r="G65" s="105"/>
    </row>
    <row r="66">
      <c r="A66" s="105"/>
      <c r="B66" s="105"/>
      <c r="C66" s="105"/>
      <c r="E66" s="105"/>
      <c r="G66" s="105"/>
    </row>
    <row r="67">
      <c r="A67" s="105"/>
      <c r="B67" s="105"/>
      <c r="C67" s="105"/>
      <c r="E67" s="105"/>
      <c r="G67" s="105"/>
    </row>
    <row r="68">
      <c r="A68" s="105"/>
      <c r="B68" s="105"/>
      <c r="C68" s="105"/>
      <c r="E68" s="105"/>
      <c r="G68" s="105"/>
    </row>
    <row r="69">
      <c r="A69" s="105"/>
      <c r="B69" s="105"/>
      <c r="C69" s="105"/>
      <c r="E69" s="105"/>
      <c r="G69" s="105"/>
    </row>
    <row r="70">
      <c r="A70" s="105"/>
      <c r="B70" s="105"/>
      <c r="C70" s="105"/>
      <c r="E70" s="105"/>
      <c r="G70" s="105"/>
    </row>
    <row r="71">
      <c r="A71" s="105"/>
      <c r="B71" s="105"/>
      <c r="C71" s="105"/>
      <c r="E71" s="105"/>
      <c r="G71" s="105"/>
    </row>
    <row r="72">
      <c r="A72" s="105"/>
      <c r="B72" s="105"/>
      <c r="C72" s="105"/>
      <c r="E72" s="105"/>
      <c r="G72" s="105"/>
    </row>
    <row r="73">
      <c r="A73" s="105"/>
      <c r="B73" s="105"/>
      <c r="C73" s="105"/>
      <c r="E73" s="105"/>
      <c r="G73" s="105"/>
    </row>
    <row r="74">
      <c r="A74" s="105"/>
      <c r="B74" s="105"/>
      <c r="C74" s="105"/>
      <c r="E74" s="105"/>
      <c r="G74" s="105"/>
    </row>
    <row r="75">
      <c r="A75" s="105"/>
      <c r="B75" s="105"/>
      <c r="C75" s="105"/>
      <c r="E75" s="105"/>
      <c r="G75" s="105"/>
    </row>
    <row r="76">
      <c r="A76" s="105"/>
      <c r="B76" s="105"/>
      <c r="C76" s="105"/>
      <c r="E76" s="105"/>
      <c r="G76" s="105"/>
    </row>
    <row r="77">
      <c r="A77" s="105"/>
      <c r="B77" s="105"/>
      <c r="C77" s="105"/>
      <c r="E77" s="105"/>
      <c r="G77" s="105"/>
    </row>
    <row r="78">
      <c r="A78" s="105"/>
      <c r="B78" s="105"/>
      <c r="C78" s="105"/>
      <c r="E78" s="105"/>
      <c r="G78" s="105"/>
    </row>
    <row r="79">
      <c r="A79" s="105"/>
      <c r="B79" s="105"/>
      <c r="C79" s="105"/>
      <c r="E79" s="105"/>
      <c r="G79" s="105"/>
    </row>
    <row r="80">
      <c r="A80" s="105"/>
      <c r="B80" s="105"/>
      <c r="C80" s="105"/>
      <c r="E80" s="105"/>
      <c r="G80" s="105"/>
    </row>
    <row r="81">
      <c r="A81" s="105"/>
      <c r="B81" s="105"/>
      <c r="C81" s="105"/>
      <c r="E81" s="105"/>
      <c r="G81" s="105"/>
    </row>
    <row r="82">
      <c r="A82" s="105"/>
      <c r="B82" s="105"/>
      <c r="C82" s="105"/>
      <c r="E82" s="105"/>
      <c r="G82" s="105"/>
    </row>
    <row r="83">
      <c r="A83" s="105"/>
      <c r="B83" s="105"/>
      <c r="C83" s="105"/>
      <c r="E83" s="105"/>
      <c r="G83" s="105"/>
    </row>
    <row r="84">
      <c r="A84" s="105"/>
      <c r="B84" s="105"/>
      <c r="C84" s="105"/>
      <c r="E84" s="105"/>
      <c r="G84" s="105"/>
    </row>
    <row r="85">
      <c r="A85" s="105"/>
      <c r="B85" s="105"/>
      <c r="C85" s="105"/>
      <c r="E85" s="105"/>
      <c r="G85" s="105"/>
    </row>
    <row r="86">
      <c r="A86" s="105"/>
      <c r="B86" s="105"/>
      <c r="C86" s="105"/>
      <c r="E86" s="105"/>
      <c r="G86" s="105"/>
    </row>
    <row r="87">
      <c r="A87" s="105"/>
      <c r="B87" s="105"/>
      <c r="C87" s="105"/>
      <c r="E87" s="105"/>
      <c r="G87" s="105"/>
    </row>
    <row r="88">
      <c r="A88" s="105"/>
      <c r="B88" s="105"/>
      <c r="C88" s="105"/>
      <c r="E88" s="105"/>
      <c r="G88" s="105"/>
    </row>
    <row r="89">
      <c r="A89" s="105"/>
      <c r="B89" s="105"/>
      <c r="C89" s="105"/>
      <c r="E89" s="105"/>
      <c r="G89" s="105"/>
    </row>
    <row r="90">
      <c r="A90" s="105"/>
      <c r="B90" s="105"/>
      <c r="C90" s="105"/>
      <c r="E90" s="105"/>
      <c r="G90" s="105"/>
    </row>
    <row r="91">
      <c r="A91" s="105"/>
      <c r="B91" s="105"/>
      <c r="C91" s="105"/>
      <c r="E91" s="105"/>
      <c r="G91" s="105"/>
    </row>
    <row r="92">
      <c r="A92" s="105"/>
      <c r="B92" s="105"/>
      <c r="C92" s="105"/>
      <c r="E92" s="105"/>
      <c r="G92" s="105"/>
    </row>
    <row r="93">
      <c r="A93" s="105"/>
      <c r="B93" s="105"/>
      <c r="C93" s="105"/>
      <c r="E93" s="105"/>
      <c r="G93" s="105"/>
    </row>
    <row r="94">
      <c r="A94" s="105"/>
      <c r="B94" s="105"/>
      <c r="C94" s="105"/>
      <c r="E94" s="105"/>
      <c r="G94" s="105"/>
    </row>
    <row r="95">
      <c r="A95" s="105"/>
      <c r="B95" s="105"/>
      <c r="C95" s="105"/>
      <c r="E95" s="105"/>
      <c r="G95" s="105"/>
    </row>
    <row r="96">
      <c r="A96" s="105"/>
      <c r="B96" s="105"/>
      <c r="C96" s="105"/>
      <c r="E96" s="105"/>
      <c r="G96" s="105"/>
    </row>
    <row r="97">
      <c r="A97" s="105"/>
      <c r="B97" s="105"/>
      <c r="C97" s="105"/>
      <c r="E97" s="105"/>
      <c r="G97" s="105"/>
    </row>
    <row r="98">
      <c r="A98" s="105"/>
      <c r="B98" s="105"/>
      <c r="C98" s="105"/>
      <c r="E98" s="105"/>
      <c r="G98" s="105"/>
    </row>
    <row r="99">
      <c r="A99" s="105"/>
      <c r="B99" s="105"/>
      <c r="C99" s="105"/>
      <c r="E99" s="105"/>
      <c r="G99" s="105"/>
    </row>
    <row r="100">
      <c r="A100" s="105"/>
      <c r="B100" s="105"/>
      <c r="C100" s="105"/>
      <c r="E100" s="105"/>
      <c r="G100" s="105"/>
    </row>
    <row r="101">
      <c r="A101" s="105"/>
      <c r="B101" s="105"/>
      <c r="C101" s="105"/>
      <c r="E101" s="105"/>
      <c r="G101" s="105"/>
    </row>
    <row r="102">
      <c r="A102" s="105"/>
      <c r="B102" s="105"/>
      <c r="C102" s="105"/>
      <c r="E102" s="105"/>
      <c r="G102" s="105"/>
    </row>
    <row r="103">
      <c r="A103" s="105"/>
      <c r="B103" s="105"/>
      <c r="C103" s="105"/>
      <c r="E103" s="105"/>
      <c r="G103" s="105"/>
    </row>
    <row r="104">
      <c r="A104" s="105"/>
      <c r="B104" s="105"/>
      <c r="C104" s="105"/>
      <c r="E104" s="105"/>
      <c r="G104" s="105"/>
    </row>
    <row r="105">
      <c r="A105" s="105"/>
      <c r="B105" s="105"/>
      <c r="C105" s="105"/>
      <c r="E105" s="105"/>
      <c r="G105" s="105"/>
    </row>
    <row r="106">
      <c r="A106" s="105"/>
      <c r="B106" s="105"/>
      <c r="C106" s="105"/>
      <c r="E106" s="105"/>
      <c r="G106" s="105"/>
    </row>
    <row r="107">
      <c r="A107" s="105"/>
      <c r="B107" s="105"/>
      <c r="C107" s="105"/>
      <c r="E107" s="105"/>
      <c r="G107" s="105"/>
    </row>
    <row r="108">
      <c r="A108" s="105"/>
      <c r="B108" s="105"/>
      <c r="C108" s="105"/>
      <c r="E108" s="105"/>
      <c r="G108" s="105"/>
    </row>
    <row r="109">
      <c r="A109" s="105"/>
      <c r="B109" s="105"/>
      <c r="C109" s="105"/>
      <c r="E109" s="105"/>
      <c r="G109" s="105"/>
    </row>
    <row r="110">
      <c r="A110" s="105"/>
      <c r="B110" s="105"/>
      <c r="C110" s="105"/>
      <c r="E110" s="105"/>
      <c r="G110" s="105"/>
    </row>
    <row r="111">
      <c r="A111" s="105"/>
      <c r="B111" s="105"/>
      <c r="C111" s="105"/>
      <c r="E111" s="105"/>
      <c r="G111" s="105"/>
    </row>
    <row r="112">
      <c r="A112" s="105"/>
      <c r="B112" s="105"/>
      <c r="C112" s="105"/>
      <c r="E112" s="105"/>
      <c r="G112" s="105"/>
    </row>
    <row r="113">
      <c r="A113" s="105"/>
      <c r="B113" s="105"/>
      <c r="C113" s="105"/>
      <c r="E113" s="105"/>
      <c r="G113" s="105"/>
    </row>
    <row r="114">
      <c r="A114" s="105"/>
      <c r="B114" s="105"/>
      <c r="C114" s="105"/>
      <c r="E114" s="105"/>
      <c r="G114" s="105"/>
    </row>
    <row r="115">
      <c r="A115" s="105"/>
      <c r="B115" s="105"/>
      <c r="C115" s="105"/>
      <c r="E115" s="105"/>
      <c r="G115" s="105"/>
    </row>
    <row r="116">
      <c r="A116" s="105"/>
      <c r="B116" s="105"/>
      <c r="C116" s="105"/>
      <c r="E116" s="105"/>
      <c r="G116" s="105"/>
    </row>
    <row r="117">
      <c r="A117" s="105"/>
      <c r="B117" s="105"/>
      <c r="C117" s="105"/>
      <c r="E117" s="105"/>
      <c r="G117" s="105"/>
    </row>
    <row r="118">
      <c r="A118" s="105"/>
      <c r="B118" s="105"/>
      <c r="C118" s="105"/>
      <c r="E118" s="105"/>
      <c r="G118" s="105"/>
    </row>
    <row r="119">
      <c r="A119" s="105"/>
      <c r="B119" s="105"/>
      <c r="C119" s="105"/>
      <c r="E119" s="105"/>
      <c r="G119" s="105"/>
    </row>
    <row r="120">
      <c r="A120" s="105"/>
      <c r="B120" s="105"/>
      <c r="C120" s="105"/>
      <c r="E120" s="105"/>
      <c r="G120" s="105"/>
    </row>
    <row r="121">
      <c r="A121" s="105"/>
      <c r="B121" s="105"/>
      <c r="C121" s="105"/>
      <c r="E121" s="105"/>
      <c r="G121" s="105"/>
    </row>
    <row r="122">
      <c r="A122" s="105"/>
      <c r="B122" s="105"/>
      <c r="C122" s="105"/>
      <c r="E122" s="105"/>
      <c r="G122" s="105"/>
    </row>
    <row r="123">
      <c r="A123" s="105"/>
      <c r="B123" s="105"/>
      <c r="C123" s="105"/>
      <c r="E123" s="105"/>
      <c r="G123" s="105"/>
    </row>
    <row r="124">
      <c r="A124" s="105"/>
      <c r="B124" s="105"/>
      <c r="C124" s="105"/>
      <c r="E124" s="105"/>
      <c r="G124" s="105"/>
    </row>
    <row r="125">
      <c r="A125" s="105"/>
      <c r="B125" s="105"/>
      <c r="C125" s="105"/>
      <c r="E125" s="105"/>
      <c r="G125" s="105"/>
    </row>
    <row r="126">
      <c r="A126" s="105"/>
      <c r="B126" s="105"/>
      <c r="C126" s="105"/>
      <c r="E126" s="105"/>
      <c r="G126" s="105"/>
    </row>
    <row r="127">
      <c r="A127" s="105"/>
      <c r="B127" s="105"/>
      <c r="C127" s="105"/>
      <c r="E127" s="105"/>
      <c r="G127" s="105"/>
    </row>
    <row r="128">
      <c r="A128" s="105"/>
      <c r="B128" s="105"/>
      <c r="C128" s="105"/>
      <c r="E128" s="105"/>
      <c r="G128" s="105"/>
    </row>
    <row r="129">
      <c r="A129" s="105"/>
      <c r="B129" s="105"/>
      <c r="C129" s="105"/>
      <c r="E129" s="105"/>
      <c r="G129" s="105"/>
    </row>
    <row r="130">
      <c r="A130" s="105"/>
      <c r="B130" s="105"/>
      <c r="C130" s="105"/>
      <c r="E130" s="105"/>
      <c r="G130" s="105"/>
    </row>
    <row r="131">
      <c r="A131" s="105"/>
      <c r="B131" s="105"/>
      <c r="C131" s="105"/>
      <c r="E131" s="105"/>
      <c r="G131" s="105"/>
    </row>
    <row r="132">
      <c r="A132" s="105"/>
      <c r="B132" s="105"/>
      <c r="C132" s="105"/>
      <c r="E132" s="105"/>
      <c r="G132" s="105"/>
    </row>
    <row r="133">
      <c r="A133" s="105"/>
      <c r="B133" s="105"/>
      <c r="C133" s="105"/>
      <c r="E133" s="105"/>
      <c r="G133" s="105"/>
    </row>
    <row r="134">
      <c r="A134" s="105"/>
      <c r="B134" s="105"/>
      <c r="C134" s="105"/>
      <c r="E134" s="105"/>
      <c r="G134" s="105"/>
    </row>
    <row r="135">
      <c r="A135" s="105"/>
      <c r="B135" s="105"/>
      <c r="C135" s="105"/>
      <c r="E135" s="105"/>
      <c r="G135" s="105"/>
    </row>
    <row r="136">
      <c r="A136" s="105"/>
      <c r="B136" s="105"/>
      <c r="C136" s="105"/>
      <c r="E136" s="105"/>
      <c r="G136" s="105"/>
    </row>
    <row r="137">
      <c r="A137" s="105"/>
      <c r="B137" s="105"/>
      <c r="C137" s="105"/>
      <c r="E137" s="105"/>
      <c r="G137" s="105"/>
    </row>
    <row r="138">
      <c r="A138" s="105"/>
      <c r="B138" s="105"/>
      <c r="C138" s="105"/>
      <c r="E138" s="105"/>
      <c r="G138" s="105"/>
    </row>
    <row r="139">
      <c r="A139" s="105"/>
      <c r="B139" s="105"/>
      <c r="C139" s="105"/>
      <c r="E139" s="105"/>
      <c r="G139" s="105"/>
    </row>
    <row r="140">
      <c r="A140" s="105"/>
      <c r="B140" s="105"/>
      <c r="C140" s="105"/>
      <c r="E140" s="105"/>
      <c r="G140" s="105"/>
    </row>
    <row r="141">
      <c r="A141" s="105"/>
      <c r="B141" s="105"/>
      <c r="C141" s="105"/>
      <c r="E141" s="105"/>
      <c r="G141" s="105"/>
    </row>
    <row r="142">
      <c r="A142" s="105"/>
      <c r="B142" s="105"/>
      <c r="C142" s="105"/>
      <c r="E142" s="105"/>
      <c r="G142" s="105"/>
    </row>
    <row r="143">
      <c r="A143" s="105"/>
      <c r="B143" s="105"/>
      <c r="C143" s="105"/>
      <c r="E143" s="105"/>
      <c r="G143" s="105"/>
    </row>
    <row r="144">
      <c r="A144" s="105"/>
      <c r="B144" s="105"/>
      <c r="C144" s="105"/>
      <c r="E144" s="105"/>
      <c r="G144" s="105"/>
    </row>
    <row r="145">
      <c r="A145" s="105"/>
      <c r="B145" s="105"/>
      <c r="C145" s="105"/>
      <c r="E145" s="105"/>
      <c r="G145" s="105"/>
    </row>
    <row r="146">
      <c r="A146" s="105"/>
      <c r="B146" s="105"/>
      <c r="C146" s="105"/>
      <c r="E146" s="105"/>
      <c r="G146" s="105"/>
    </row>
    <row r="147">
      <c r="A147" s="105"/>
      <c r="B147" s="105"/>
      <c r="C147" s="105"/>
      <c r="E147" s="105"/>
      <c r="G147" s="105"/>
    </row>
    <row r="148">
      <c r="A148" s="105"/>
      <c r="B148" s="105"/>
      <c r="C148" s="105"/>
      <c r="E148" s="105"/>
      <c r="G148" s="105"/>
    </row>
    <row r="149">
      <c r="A149" s="105"/>
      <c r="B149" s="105"/>
      <c r="C149" s="105"/>
      <c r="E149" s="105"/>
      <c r="G149" s="105"/>
    </row>
    <row r="150">
      <c r="A150" s="105"/>
      <c r="B150" s="105"/>
      <c r="C150" s="105"/>
      <c r="E150" s="105"/>
      <c r="G150" s="105"/>
    </row>
    <row r="151">
      <c r="A151" s="105"/>
      <c r="B151" s="105"/>
      <c r="C151" s="105"/>
      <c r="E151" s="105"/>
      <c r="G151" s="105"/>
    </row>
    <row r="152">
      <c r="A152" s="105"/>
      <c r="B152" s="105"/>
      <c r="C152" s="105"/>
      <c r="E152" s="105"/>
      <c r="G152" s="105"/>
    </row>
    <row r="153">
      <c r="A153" s="105"/>
      <c r="B153" s="105"/>
      <c r="C153" s="105"/>
      <c r="E153" s="105"/>
      <c r="G153" s="105"/>
    </row>
    <row r="154">
      <c r="A154" s="105"/>
      <c r="B154" s="105"/>
      <c r="C154" s="105"/>
      <c r="E154" s="105"/>
      <c r="G154" s="105"/>
    </row>
    <row r="155">
      <c r="A155" s="105"/>
      <c r="B155" s="105"/>
      <c r="C155" s="105"/>
      <c r="E155" s="105"/>
      <c r="G155" s="105"/>
    </row>
    <row r="156">
      <c r="A156" s="105"/>
      <c r="B156" s="105"/>
      <c r="C156" s="105"/>
      <c r="E156" s="105"/>
      <c r="G156" s="105"/>
    </row>
    <row r="157">
      <c r="A157" s="105"/>
      <c r="B157" s="105"/>
      <c r="C157" s="105"/>
      <c r="E157" s="105"/>
      <c r="G157" s="105"/>
    </row>
    <row r="158">
      <c r="A158" s="105"/>
      <c r="B158" s="105"/>
      <c r="C158" s="105"/>
      <c r="E158" s="105"/>
      <c r="G158" s="105"/>
    </row>
    <row r="159">
      <c r="A159" s="105"/>
      <c r="B159" s="105"/>
      <c r="C159" s="105"/>
      <c r="E159" s="105"/>
      <c r="G159" s="105"/>
    </row>
    <row r="160">
      <c r="A160" s="105"/>
      <c r="B160" s="105"/>
      <c r="C160" s="105"/>
      <c r="E160" s="105"/>
      <c r="G160" s="105"/>
    </row>
    <row r="161">
      <c r="A161" s="105"/>
      <c r="B161" s="105"/>
      <c r="C161" s="105"/>
      <c r="E161" s="105"/>
      <c r="G161" s="105"/>
    </row>
    <row r="162">
      <c r="A162" s="105"/>
      <c r="B162" s="105"/>
      <c r="C162" s="105"/>
      <c r="E162" s="105"/>
      <c r="G162" s="105"/>
    </row>
    <row r="163">
      <c r="A163" s="105"/>
      <c r="B163" s="105"/>
      <c r="C163" s="105"/>
      <c r="E163" s="105"/>
      <c r="G163" s="105"/>
    </row>
    <row r="164">
      <c r="A164" s="105"/>
      <c r="B164" s="105"/>
      <c r="C164" s="105"/>
      <c r="E164" s="105"/>
      <c r="G164" s="105"/>
    </row>
    <row r="165">
      <c r="A165" s="105"/>
      <c r="B165" s="105"/>
      <c r="C165" s="105"/>
      <c r="E165" s="105"/>
      <c r="G165" s="105"/>
    </row>
    <row r="166">
      <c r="A166" s="105"/>
      <c r="B166" s="105"/>
      <c r="C166" s="105"/>
      <c r="E166" s="105"/>
      <c r="G166" s="105"/>
    </row>
    <row r="167">
      <c r="A167" s="105"/>
      <c r="B167" s="105"/>
      <c r="C167" s="105"/>
      <c r="E167" s="105"/>
      <c r="G167" s="105"/>
    </row>
    <row r="168">
      <c r="A168" s="105"/>
      <c r="B168" s="105"/>
      <c r="C168" s="105"/>
      <c r="E168" s="105"/>
      <c r="G168" s="105"/>
    </row>
    <row r="169">
      <c r="A169" s="105"/>
      <c r="B169" s="105"/>
      <c r="C169" s="105"/>
      <c r="E169" s="105"/>
      <c r="G169" s="105"/>
    </row>
    <row r="170">
      <c r="A170" s="105"/>
      <c r="B170" s="105"/>
      <c r="C170" s="105"/>
      <c r="E170" s="105"/>
      <c r="G170" s="105"/>
    </row>
    <row r="171">
      <c r="A171" s="105"/>
      <c r="B171" s="105"/>
      <c r="C171" s="105"/>
      <c r="E171" s="105"/>
      <c r="G171" s="105"/>
    </row>
    <row r="172">
      <c r="A172" s="105"/>
      <c r="B172" s="105"/>
      <c r="C172" s="105"/>
      <c r="E172" s="105"/>
      <c r="G172" s="105"/>
    </row>
    <row r="173">
      <c r="A173" s="105"/>
      <c r="B173" s="105"/>
      <c r="C173" s="105"/>
      <c r="E173" s="105"/>
      <c r="G173" s="105"/>
    </row>
    <row r="174">
      <c r="A174" s="105"/>
      <c r="B174" s="105"/>
      <c r="C174" s="105"/>
      <c r="E174" s="105"/>
      <c r="G174" s="105"/>
    </row>
    <row r="175">
      <c r="A175" s="105"/>
      <c r="B175" s="105"/>
      <c r="C175" s="105"/>
      <c r="E175" s="105"/>
      <c r="G175" s="105"/>
    </row>
    <row r="176">
      <c r="A176" s="105"/>
      <c r="B176" s="105"/>
      <c r="C176" s="105"/>
      <c r="E176" s="105"/>
      <c r="G176" s="105"/>
    </row>
    <row r="177">
      <c r="A177" s="105"/>
      <c r="B177" s="105"/>
      <c r="C177" s="105"/>
      <c r="E177" s="105"/>
      <c r="G177" s="105"/>
    </row>
    <row r="178">
      <c r="A178" s="105"/>
      <c r="B178" s="105"/>
      <c r="C178" s="105"/>
      <c r="E178" s="105"/>
      <c r="G178" s="105"/>
    </row>
    <row r="179">
      <c r="A179" s="105"/>
      <c r="B179" s="105"/>
      <c r="C179" s="105"/>
      <c r="E179" s="105"/>
      <c r="G179" s="105"/>
    </row>
    <row r="180">
      <c r="A180" s="105"/>
      <c r="B180" s="105"/>
      <c r="C180" s="105"/>
      <c r="E180" s="105"/>
      <c r="G180" s="105"/>
    </row>
    <row r="181">
      <c r="A181" s="105"/>
      <c r="B181" s="105"/>
      <c r="C181" s="105"/>
      <c r="E181" s="105"/>
      <c r="G181" s="105"/>
    </row>
    <row r="182">
      <c r="A182" s="105"/>
      <c r="B182" s="105"/>
      <c r="C182" s="105"/>
      <c r="E182" s="105"/>
      <c r="G182" s="105"/>
    </row>
    <row r="183">
      <c r="A183" s="105"/>
      <c r="B183" s="105"/>
      <c r="C183" s="105"/>
      <c r="E183" s="105"/>
      <c r="G183" s="105"/>
    </row>
    <row r="184">
      <c r="A184" s="105"/>
      <c r="B184" s="105"/>
      <c r="C184" s="105"/>
      <c r="E184" s="105"/>
      <c r="G184" s="105"/>
    </row>
    <row r="185">
      <c r="A185" s="105"/>
      <c r="B185" s="105"/>
      <c r="C185" s="105"/>
      <c r="E185" s="105"/>
      <c r="G185" s="105"/>
    </row>
    <row r="186">
      <c r="A186" s="105"/>
      <c r="B186" s="105"/>
      <c r="C186" s="105"/>
      <c r="E186" s="105"/>
      <c r="G186" s="105"/>
    </row>
    <row r="187">
      <c r="A187" s="105"/>
      <c r="B187" s="105"/>
      <c r="C187" s="105"/>
      <c r="E187" s="105"/>
      <c r="G187" s="105"/>
    </row>
    <row r="188">
      <c r="A188" s="105"/>
      <c r="B188" s="105"/>
      <c r="C188" s="105"/>
      <c r="E188" s="105"/>
      <c r="G188" s="105"/>
    </row>
    <row r="189">
      <c r="A189" s="105"/>
      <c r="B189" s="105"/>
      <c r="C189" s="105"/>
      <c r="E189" s="105"/>
      <c r="G189" s="105"/>
    </row>
    <row r="190">
      <c r="A190" s="105"/>
      <c r="B190" s="105"/>
      <c r="C190" s="105"/>
      <c r="E190" s="105"/>
      <c r="G190" s="105"/>
    </row>
    <row r="191">
      <c r="A191" s="105"/>
      <c r="B191" s="105"/>
      <c r="C191" s="105"/>
      <c r="E191" s="105"/>
      <c r="G191" s="105"/>
    </row>
    <row r="192">
      <c r="A192" s="105"/>
      <c r="B192" s="105"/>
      <c r="C192" s="105"/>
      <c r="E192" s="105"/>
      <c r="G192" s="105"/>
    </row>
    <row r="193">
      <c r="A193" s="105"/>
      <c r="B193" s="105"/>
      <c r="C193" s="105"/>
      <c r="E193" s="105"/>
      <c r="G193" s="105"/>
    </row>
    <row r="194">
      <c r="A194" s="105"/>
      <c r="B194" s="105"/>
      <c r="C194" s="105"/>
      <c r="E194" s="105"/>
      <c r="G194" s="105"/>
    </row>
    <row r="195">
      <c r="A195" s="105"/>
      <c r="B195" s="105"/>
      <c r="C195" s="105"/>
      <c r="E195" s="105"/>
      <c r="G195" s="105"/>
    </row>
    <row r="196">
      <c r="A196" s="105"/>
      <c r="B196" s="105"/>
      <c r="C196" s="105"/>
      <c r="E196" s="105"/>
      <c r="G196" s="105"/>
    </row>
    <row r="197">
      <c r="A197" s="105"/>
      <c r="B197" s="105"/>
      <c r="C197" s="105"/>
      <c r="E197" s="105"/>
      <c r="G197" s="105"/>
    </row>
    <row r="198">
      <c r="A198" s="105"/>
      <c r="B198" s="105"/>
      <c r="C198" s="105"/>
      <c r="E198" s="105"/>
      <c r="G198" s="105"/>
    </row>
    <row r="199">
      <c r="A199" s="105"/>
      <c r="B199" s="105"/>
      <c r="C199" s="105"/>
      <c r="E199" s="105"/>
      <c r="G199" s="105"/>
    </row>
    <row r="200">
      <c r="A200" s="105"/>
      <c r="B200" s="105"/>
      <c r="C200" s="105"/>
      <c r="E200" s="105"/>
      <c r="G200" s="105"/>
    </row>
    <row r="201">
      <c r="A201" s="105"/>
      <c r="B201" s="105"/>
      <c r="C201" s="105"/>
      <c r="E201" s="105"/>
      <c r="G201" s="105"/>
    </row>
    <row r="202">
      <c r="A202" s="105"/>
      <c r="B202" s="105"/>
      <c r="C202" s="105"/>
      <c r="E202" s="105"/>
      <c r="G202" s="105"/>
    </row>
    <row r="203">
      <c r="A203" s="105"/>
      <c r="B203" s="105"/>
      <c r="C203" s="105"/>
      <c r="E203" s="105"/>
      <c r="G203" s="105"/>
    </row>
    <row r="204">
      <c r="A204" s="105"/>
      <c r="B204" s="105"/>
      <c r="C204" s="105"/>
      <c r="E204" s="105"/>
      <c r="G204" s="105"/>
    </row>
    <row r="205">
      <c r="A205" s="105"/>
      <c r="B205" s="105"/>
      <c r="C205" s="105"/>
      <c r="E205" s="105"/>
      <c r="G205" s="105"/>
    </row>
    <row r="206">
      <c r="A206" s="105"/>
      <c r="B206" s="105"/>
      <c r="C206" s="105"/>
      <c r="E206" s="105"/>
      <c r="G206" s="105"/>
    </row>
    <row r="207">
      <c r="A207" s="105"/>
      <c r="B207" s="105"/>
      <c r="C207" s="105"/>
      <c r="E207" s="105"/>
      <c r="G207" s="105"/>
    </row>
    <row r="208">
      <c r="A208" s="105"/>
      <c r="B208" s="105"/>
      <c r="C208" s="105"/>
      <c r="E208" s="105"/>
      <c r="G208" s="105"/>
    </row>
    <row r="209">
      <c r="A209" s="105"/>
      <c r="B209" s="105"/>
      <c r="C209" s="105"/>
      <c r="E209" s="105"/>
      <c r="G209" s="105"/>
    </row>
    <row r="210">
      <c r="A210" s="105"/>
      <c r="B210" s="105"/>
      <c r="C210" s="105"/>
      <c r="E210" s="105"/>
      <c r="G210" s="105"/>
    </row>
    <row r="211">
      <c r="A211" s="105"/>
      <c r="B211" s="105"/>
      <c r="C211" s="105"/>
      <c r="E211" s="105"/>
      <c r="G211" s="105"/>
    </row>
    <row r="212">
      <c r="A212" s="105"/>
      <c r="B212" s="105"/>
      <c r="C212" s="105"/>
      <c r="E212" s="105"/>
      <c r="G212" s="105"/>
    </row>
    <row r="213">
      <c r="A213" s="105"/>
      <c r="B213" s="105"/>
      <c r="C213" s="105"/>
      <c r="E213" s="105"/>
      <c r="G213" s="105"/>
    </row>
    <row r="214">
      <c r="A214" s="105"/>
      <c r="B214" s="105"/>
      <c r="C214" s="105"/>
      <c r="E214" s="105"/>
      <c r="G214" s="105"/>
    </row>
    <row r="215">
      <c r="A215" s="105"/>
      <c r="B215" s="105"/>
      <c r="C215" s="105"/>
      <c r="E215" s="105"/>
      <c r="G215" s="105"/>
    </row>
    <row r="216">
      <c r="A216" s="105"/>
      <c r="B216" s="105"/>
      <c r="C216" s="105"/>
      <c r="E216" s="105"/>
      <c r="G216" s="105"/>
    </row>
    <row r="217">
      <c r="A217" s="105"/>
      <c r="B217" s="105"/>
      <c r="C217" s="105"/>
      <c r="E217" s="105"/>
      <c r="G217" s="105"/>
    </row>
    <row r="218">
      <c r="A218" s="105"/>
      <c r="B218" s="105"/>
      <c r="C218" s="105"/>
      <c r="E218" s="105"/>
      <c r="G218" s="105"/>
    </row>
    <row r="219">
      <c r="A219" s="105"/>
      <c r="B219" s="105"/>
      <c r="C219" s="105"/>
      <c r="E219" s="105"/>
      <c r="G219" s="105"/>
    </row>
    <row r="220">
      <c r="A220" s="105"/>
      <c r="B220" s="105"/>
      <c r="C220" s="105"/>
      <c r="E220" s="105"/>
      <c r="G220" s="105"/>
    </row>
    <row r="221">
      <c r="A221" s="105"/>
      <c r="B221" s="105"/>
      <c r="C221" s="105"/>
      <c r="E221" s="105"/>
      <c r="G221" s="105"/>
    </row>
    <row r="222">
      <c r="A222" s="105"/>
      <c r="B222" s="105"/>
      <c r="C222" s="105"/>
      <c r="E222" s="105"/>
      <c r="G222" s="105"/>
    </row>
    <row r="223">
      <c r="A223" s="105"/>
      <c r="B223" s="105"/>
      <c r="C223" s="105"/>
      <c r="E223" s="105"/>
      <c r="G223" s="105"/>
    </row>
    <row r="224">
      <c r="A224" s="105"/>
      <c r="B224" s="105"/>
      <c r="C224" s="105"/>
      <c r="E224" s="105"/>
      <c r="G224" s="105"/>
    </row>
    <row r="225">
      <c r="A225" s="105"/>
      <c r="B225" s="105"/>
      <c r="C225" s="105"/>
      <c r="E225" s="105"/>
      <c r="G225" s="105"/>
    </row>
    <row r="226">
      <c r="A226" s="105"/>
      <c r="B226" s="105"/>
      <c r="C226" s="105"/>
      <c r="E226" s="105"/>
      <c r="G226" s="105"/>
    </row>
    <row r="227">
      <c r="A227" s="105"/>
      <c r="B227" s="105"/>
      <c r="C227" s="105"/>
      <c r="E227" s="105"/>
      <c r="G227" s="105"/>
    </row>
    <row r="228">
      <c r="A228" s="105"/>
      <c r="B228" s="105"/>
      <c r="C228" s="105"/>
      <c r="E228" s="105"/>
      <c r="G228" s="105"/>
    </row>
    <row r="229">
      <c r="A229" s="105"/>
      <c r="B229" s="105"/>
      <c r="C229" s="105"/>
      <c r="E229" s="105"/>
      <c r="G229" s="105"/>
    </row>
    <row r="230">
      <c r="A230" s="105"/>
      <c r="B230" s="105"/>
      <c r="C230" s="105"/>
      <c r="E230" s="105"/>
      <c r="G230" s="105"/>
    </row>
    <row r="231">
      <c r="A231" s="105"/>
      <c r="B231" s="105"/>
      <c r="C231" s="105"/>
      <c r="E231" s="105"/>
      <c r="G231" s="105"/>
    </row>
    <row r="232">
      <c r="A232" s="105"/>
      <c r="B232" s="105"/>
      <c r="C232" s="105"/>
      <c r="E232" s="105"/>
      <c r="G232" s="105"/>
    </row>
    <row r="233">
      <c r="A233" s="105"/>
      <c r="B233" s="105"/>
      <c r="C233" s="105"/>
      <c r="E233" s="105"/>
      <c r="G233" s="105"/>
    </row>
    <row r="234">
      <c r="A234" s="105"/>
      <c r="B234" s="105"/>
      <c r="C234" s="105"/>
      <c r="E234" s="105"/>
      <c r="G234" s="105"/>
    </row>
    <row r="235">
      <c r="A235" s="105"/>
      <c r="B235" s="105"/>
      <c r="C235" s="105"/>
      <c r="E235" s="105"/>
      <c r="G235" s="105"/>
    </row>
    <row r="236">
      <c r="A236" s="105"/>
      <c r="B236" s="105"/>
      <c r="C236" s="105"/>
      <c r="E236" s="105"/>
      <c r="G236" s="105"/>
    </row>
    <row r="237">
      <c r="A237" s="105"/>
      <c r="B237" s="105"/>
      <c r="C237" s="105"/>
      <c r="E237" s="105"/>
      <c r="G237" s="105"/>
    </row>
    <row r="238">
      <c r="A238" s="105"/>
      <c r="B238" s="105"/>
      <c r="C238" s="105"/>
      <c r="E238" s="105"/>
      <c r="G238" s="105"/>
    </row>
    <row r="239">
      <c r="A239" s="105"/>
      <c r="B239" s="105"/>
      <c r="C239" s="105"/>
      <c r="E239" s="105"/>
      <c r="G239" s="105"/>
    </row>
    <row r="240">
      <c r="A240" s="105"/>
      <c r="B240" s="105"/>
      <c r="C240" s="105"/>
      <c r="E240" s="105"/>
      <c r="G240" s="105"/>
    </row>
    <row r="241">
      <c r="A241" s="105"/>
      <c r="B241" s="105"/>
      <c r="C241" s="105"/>
      <c r="E241" s="105"/>
      <c r="G241" s="105"/>
    </row>
    <row r="242">
      <c r="A242" s="105"/>
      <c r="B242" s="105"/>
      <c r="C242" s="105"/>
      <c r="E242" s="105"/>
      <c r="G242" s="105"/>
    </row>
    <row r="243">
      <c r="A243" s="105"/>
      <c r="B243" s="105"/>
      <c r="C243" s="105"/>
      <c r="E243" s="105"/>
      <c r="G243" s="105"/>
    </row>
    <row r="244">
      <c r="A244" s="105"/>
      <c r="B244" s="105"/>
      <c r="C244" s="105"/>
      <c r="E244" s="105"/>
      <c r="G244" s="105"/>
    </row>
    <row r="245">
      <c r="A245" s="105"/>
      <c r="B245" s="105"/>
      <c r="C245" s="105"/>
      <c r="E245" s="105"/>
      <c r="G245" s="105"/>
    </row>
    <row r="246">
      <c r="A246" s="105"/>
      <c r="B246" s="105"/>
      <c r="C246" s="105"/>
      <c r="E246" s="105"/>
      <c r="G246" s="105"/>
    </row>
    <row r="247">
      <c r="A247" s="105"/>
      <c r="B247" s="105"/>
      <c r="C247" s="105"/>
      <c r="E247" s="105"/>
      <c r="G247" s="105"/>
    </row>
    <row r="248">
      <c r="A248" s="105"/>
      <c r="B248" s="105"/>
      <c r="C248" s="105"/>
      <c r="E248" s="105"/>
      <c r="G248" s="105"/>
    </row>
    <row r="249">
      <c r="A249" s="105"/>
      <c r="B249" s="105"/>
      <c r="C249" s="105"/>
      <c r="E249" s="105"/>
      <c r="G249" s="105"/>
    </row>
    <row r="250">
      <c r="A250" s="105"/>
      <c r="B250" s="105"/>
      <c r="C250" s="105"/>
      <c r="E250" s="105"/>
      <c r="G250" s="105"/>
    </row>
    <row r="251">
      <c r="A251" s="105"/>
      <c r="B251" s="105"/>
      <c r="C251" s="105"/>
      <c r="E251" s="105"/>
      <c r="G251" s="105"/>
    </row>
    <row r="252">
      <c r="A252" s="105"/>
      <c r="B252" s="105"/>
      <c r="C252" s="105"/>
      <c r="E252" s="105"/>
      <c r="G252" s="105"/>
    </row>
    <row r="253">
      <c r="A253" s="105"/>
      <c r="B253" s="105"/>
      <c r="C253" s="105"/>
      <c r="E253" s="105"/>
      <c r="G253" s="105"/>
    </row>
    <row r="254">
      <c r="A254" s="105"/>
      <c r="B254" s="105"/>
      <c r="C254" s="105"/>
      <c r="E254" s="105"/>
      <c r="G254" s="105"/>
    </row>
    <row r="255">
      <c r="A255" s="105"/>
      <c r="B255" s="105"/>
      <c r="C255" s="105"/>
      <c r="E255" s="105"/>
      <c r="G255" s="105"/>
    </row>
    <row r="256">
      <c r="A256" s="105"/>
      <c r="B256" s="105"/>
      <c r="C256" s="105"/>
      <c r="E256" s="105"/>
      <c r="G256" s="105"/>
    </row>
    <row r="257">
      <c r="A257" s="105"/>
      <c r="B257" s="105"/>
      <c r="C257" s="105"/>
      <c r="E257" s="105"/>
      <c r="G257" s="105"/>
    </row>
    <row r="258">
      <c r="A258" s="105"/>
      <c r="B258" s="105"/>
      <c r="C258" s="105"/>
      <c r="E258" s="105"/>
      <c r="G258" s="105"/>
    </row>
    <row r="259">
      <c r="A259" s="105"/>
      <c r="B259" s="105"/>
      <c r="C259" s="105"/>
      <c r="E259" s="105"/>
      <c r="G259" s="105"/>
    </row>
    <row r="260">
      <c r="A260" s="105"/>
      <c r="B260" s="105"/>
      <c r="C260" s="105"/>
      <c r="E260" s="105"/>
      <c r="G260" s="105"/>
    </row>
    <row r="261">
      <c r="A261" s="105"/>
      <c r="B261" s="105"/>
      <c r="C261" s="105"/>
      <c r="E261" s="105"/>
      <c r="G261" s="105"/>
    </row>
    <row r="262">
      <c r="A262" s="105"/>
      <c r="B262" s="105"/>
      <c r="C262" s="105"/>
      <c r="E262" s="105"/>
      <c r="G262" s="105"/>
    </row>
    <row r="263">
      <c r="A263" s="105"/>
      <c r="B263" s="105"/>
      <c r="C263" s="105"/>
      <c r="E263" s="105"/>
      <c r="G263" s="105"/>
    </row>
    <row r="264">
      <c r="A264" s="105"/>
      <c r="B264" s="105"/>
      <c r="C264" s="105"/>
      <c r="E264" s="105"/>
      <c r="G264" s="105"/>
    </row>
    <row r="265">
      <c r="A265" s="105"/>
      <c r="B265" s="105"/>
      <c r="C265" s="105"/>
      <c r="E265" s="105"/>
      <c r="G265" s="105"/>
    </row>
    <row r="266">
      <c r="A266" s="105"/>
      <c r="B266" s="105"/>
      <c r="C266" s="105"/>
      <c r="E266" s="105"/>
      <c r="G266" s="105"/>
    </row>
    <row r="267">
      <c r="A267" s="105"/>
      <c r="B267" s="105"/>
      <c r="C267" s="105"/>
      <c r="E267" s="105"/>
      <c r="G267" s="105"/>
    </row>
    <row r="268">
      <c r="A268" s="105"/>
      <c r="B268" s="105"/>
      <c r="C268" s="105"/>
      <c r="E268" s="105"/>
      <c r="G268" s="105"/>
    </row>
    <row r="269">
      <c r="A269" s="105"/>
      <c r="B269" s="105"/>
      <c r="C269" s="105"/>
      <c r="E269" s="105"/>
      <c r="G269" s="105"/>
    </row>
    <row r="270">
      <c r="A270" s="105"/>
      <c r="B270" s="105"/>
      <c r="C270" s="105"/>
      <c r="E270" s="105"/>
      <c r="G270" s="105"/>
    </row>
    <row r="271">
      <c r="A271" s="105"/>
      <c r="B271" s="105"/>
      <c r="C271" s="105"/>
      <c r="E271" s="105"/>
      <c r="G271" s="105"/>
    </row>
    <row r="272">
      <c r="A272" s="105"/>
      <c r="B272" s="105"/>
      <c r="C272" s="105"/>
      <c r="E272" s="105"/>
      <c r="G272" s="105"/>
    </row>
    <row r="273">
      <c r="A273" s="105"/>
      <c r="B273" s="105"/>
      <c r="C273" s="105"/>
      <c r="E273" s="105"/>
      <c r="G273" s="105"/>
    </row>
    <row r="274">
      <c r="A274" s="105"/>
      <c r="B274" s="105"/>
      <c r="C274" s="105"/>
      <c r="E274" s="105"/>
      <c r="G274" s="105"/>
    </row>
    <row r="275">
      <c r="A275" s="105"/>
      <c r="B275" s="105"/>
      <c r="C275" s="105"/>
      <c r="E275" s="105"/>
      <c r="G275" s="105"/>
    </row>
    <row r="276">
      <c r="A276" s="105"/>
      <c r="B276" s="105"/>
      <c r="C276" s="105"/>
      <c r="E276" s="105"/>
      <c r="G276" s="105"/>
    </row>
    <row r="277">
      <c r="A277" s="105"/>
      <c r="B277" s="105"/>
      <c r="C277" s="105"/>
      <c r="E277" s="105"/>
      <c r="G277" s="105"/>
    </row>
    <row r="278">
      <c r="A278" s="105"/>
      <c r="B278" s="105"/>
      <c r="C278" s="105"/>
      <c r="E278" s="105"/>
      <c r="G278" s="105"/>
    </row>
    <row r="279">
      <c r="A279" s="105"/>
      <c r="B279" s="105"/>
      <c r="C279" s="105"/>
      <c r="E279" s="105"/>
      <c r="G279" s="105"/>
    </row>
    <row r="280">
      <c r="A280" s="105"/>
      <c r="B280" s="105"/>
      <c r="C280" s="105"/>
      <c r="E280" s="105"/>
      <c r="G280" s="105"/>
    </row>
    <row r="281">
      <c r="A281" s="105"/>
      <c r="B281" s="105"/>
      <c r="C281" s="105"/>
      <c r="E281" s="105"/>
      <c r="G281" s="105"/>
    </row>
    <row r="282">
      <c r="A282" s="105"/>
      <c r="B282" s="105"/>
      <c r="C282" s="105"/>
      <c r="E282" s="105"/>
      <c r="G282" s="105"/>
    </row>
    <row r="283">
      <c r="A283" s="105"/>
      <c r="B283" s="105"/>
      <c r="C283" s="105"/>
      <c r="E283" s="105"/>
      <c r="G283" s="105"/>
    </row>
    <row r="284">
      <c r="A284" s="105"/>
      <c r="B284" s="105"/>
      <c r="C284" s="105"/>
      <c r="E284" s="105"/>
      <c r="G284" s="105"/>
    </row>
    <row r="285">
      <c r="A285" s="105"/>
      <c r="B285" s="105"/>
      <c r="C285" s="105"/>
      <c r="E285" s="105"/>
      <c r="G285" s="105"/>
    </row>
    <row r="286">
      <c r="A286" s="105"/>
      <c r="B286" s="105"/>
      <c r="C286" s="105"/>
      <c r="E286" s="105"/>
      <c r="G286" s="105"/>
    </row>
    <row r="287">
      <c r="A287" s="105"/>
      <c r="B287" s="105"/>
      <c r="C287" s="105"/>
      <c r="E287" s="105"/>
      <c r="G287" s="105"/>
    </row>
    <row r="288">
      <c r="A288" s="105"/>
      <c r="B288" s="105"/>
      <c r="C288" s="105"/>
      <c r="E288" s="105"/>
      <c r="G288" s="105"/>
    </row>
    <row r="289">
      <c r="A289" s="105"/>
      <c r="B289" s="105"/>
      <c r="C289" s="105"/>
      <c r="E289" s="105"/>
      <c r="G289" s="105"/>
    </row>
    <row r="290">
      <c r="A290" s="105"/>
      <c r="B290" s="105"/>
      <c r="C290" s="105"/>
      <c r="E290" s="105"/>
      <c r="G290" s="105"/>
    </row>
    <row r="291">
      <c r="A291" s="105"/>
      <c r="B291" s="105"/>
      <c r="C291" s="105"/>
      <c r="E291" s="105"/>
      <c r="G291" s="105"/>
    </row>
    <row r="292">
      <c r="A292" s="105"/>
      <c r="B292" s="105"/>
      <c r="C292" s="105"/>
      <c r="E292" s="105"/>
      <c r="G292" s="105"/>
    </row>
    <row r="293">
      <c r="A293" s="105"/>
      <c r="B293" s="105"/>
      <c r="C293" s="105"/>
      <c r="E293" s="105"/>
      <c r="G293" s="105"/>
    </row>
    <row r="294">
      <c r="A294" s="105"/>
      <c r="B294" s="105"/>
      <c r="C294" s="105"/>
      <c r="E294" s="105"/>
      <c r="G294" s="105"/>
    </row>
    <row r="295">
      <c r="A295" s="105"/>
      <c r="B295" s="105"/>
      <c r="C295" s="105"/>
      <c r="E295" s="105"/>
      <c r="G295" s="105"/>
    </row>
    <row r="296">
      <c r="A296" s="105"/>
      <c r="B296" s="105"/>
      <c r="C296" s="105"/>
      <c r="E296" s="105"/>
      <c r="G296" s="105"/>
    </row>
    <row r="297">
      <c r="A297" s="105"/>
      <c r="B297" s="105"/>
      <c r="C297" s="105"/>
      <c r="E297" s="105"/>
      <c r="G297" s="105"/>
    </row>
    <row r="298">
      <c r="A298" s="105"/>
      <c r="B298" s="105"/>
      <c r="C298" s="105"/>
      <c r="E298" s="105"/>
      <c r="G298" s="105"/>
    </row>
    <row r="299">
      <c r="A299" s="105"/>
      <c r="B299" s="105"/>
      <c r="C299" s="105"/>
      <c r="E299" s="105"/>
      <c r="G299" s="105"/>
    </row>
    <row r="300">
      <c r="A300" s="105"/>
      <c r="B300" s="105"/>
      <c r="C300" s="105"/>
      <c r="E300" s="105"/>
      <c r="G300" s="105"/>
    </row>
    <row r="301">
      <c r="A301" s="105"/>
      <c r="B301" s="105"/>
      <c r="C301" s="105"/>
      <c r="E301" s="105"/>
      <c r="G301" s="105"/>
    </row>
    <row r="302">
      <c r="A302" s="105"/>
      <c r="B302" s="105"/>
      <c r="C302" s="105"/>
      <c r="E302" s="105"/>
      <c r="G302" s="105"/>
    </row>
    <row r="303">
      <c r="A303" s="105"/>
      <c r="B303" s="105"/>
      <c r="C303" s="105"/>
      <c r="E303" s="105"/>
      <c r="G303" s="105"/>
    </row>
    <row r="304">
      <c r="A304" s="105"/>
      <c r="B304" s="105"/>
      <c r="C304" s="105"/>
      <c r="E304" s="105"/>
      <c r="G304" s="105"/>
    </row>
    <row r="305">
      <c r="A305" s="105"/>
      <c r="B305" s="105"/>
      <c r="C305" s="105"/>
      <c r="E305" s="105"/>
      <c r="G305" s="105"/>
    </row>
    <row r="306">
      <c r="A306" s="105"/>
      <c r="B306" s="105"/>
      <c r="C306" s="105"/>
      <c r="E306" s="105"/>
      <c r="G306" s="105"/>
    </row>
    <row r="307">
      <c r="A307" s="105"/>
      <c r="B307" s="105"/>
      <c r="C307" s="105"/>
      <c r="E307" s="105"/>
      <c r="G307" s="105"/>
    </row>
    <row r="308">
      <c r="A308" s="105"/>
      <c r="B308" s="105"/>
      <c r="C308" s="105"/>
      <c r="E308" s="105"/>
      <c r="G308" s="105"/>
    </row>
    <row r="309">
      <c r="A309" s="105"/>
      <c r="B309" s="105"/>
      <c r="C309" s="105"/>
      <c r="E309" s="105"/>
      <c r="G309" s="105"/>
    </row>
    <row r="310">
      <c r="A310" s="105"/>
      <c r="B310" s="105"/>
      <c r="C310" s="105"/>
      <c r="E310" s="105"/>
      <c r="G310" s="105"/>
    </row>
    <row r="311">
      <c r="A311" s="105"/>
      <c r="B311" s="105"/>
      <c r="C311" s="105"/>
      <c r="E311" s="105"/>
      <c r="G311" s="105"/>
    </row>
    <row r="312">
      <c r="A312" s="105"/>
      <c r="B312" s="105"/>
      <c r="C312" s="105"/>
      <c r="E312" s="105"/>
      <c r="G312" s="105"/>
    </row>
    <row r="313">
      <c r="A313" s="105"/>
      <c r="B313" s="105"/>
      <c r="C313" s="105"/>
      <c r="E313" s="105"/>
      <c r="G313" s="105"/>
    </row>
    <row r="314">
      <c r="A314" s="105"/>
      <c r="B314" s="105"/>
      <c r="C314" s="105"/>
      <c r="E314" s="105"/>
      <c r="G314" s="105"/>
    </row>
    <row r="315">
      <c r="A315" s="105"/>
      <c r="B315" s="105"/>
      <c r="C315" s="105"/>
      <c r="E315" s="105"/>
      <c r="G315" s="105"/>
    </row>
    <row r="316">
      <c r="A316" s="105"/>
      <c r="B316" s="105"/>
      <c r="C316" s="105"/>
      <c r="E316" s="105"/>
      <c r="G316" s="105"/>
    </row>
    <row r="317">
      <c r="A317" s="105"/>
      <c r="B317" s="105"/>
      <c r="C317" s="105"/>
      <c r="E317" s="105"/>
      <c r="G317" s="105"/>
    </row>
    <row r="318">
      <c r="A318" s="105"/>
      <c r="B318" s="105"/>
      <c r="C318" s="105"/>
      <c r="E318" s="105"/>
      <c r="G318" s="105"/>
    </row>
    <row r="319">
      <c r="A319" s="105"/>
      <c r="B319" s="105"/>
      <c r="C319" s="105"/>
      <c r="E319" s="105"/>
      <c r="G319" s="105"/>
    </row>
    <row r="320">
      <c r="A320" s="105"/>
      <c r="B320" s="105"/>
      <c r="C320" s="105"/>
      <c r="E320" s="105"/>
      <c r="G320" s="105"/>
    </row>
    <row r="321">
      <c r="A321" s="105"/>
      <c r="B321" s="105"/>
      <c r="C321" s="105"/>
      <c r="E321" s="105"/>
      <c r="G321" s="105"/>
    </row>
    <row r="322">
      <c r="A322" s="105"/>
      <c r="B322" s="105"/>
      <c r="C322" s="105"/>
      <c r="E322" s="105"/>
      <c r="G322" s="105"/>
    </row>
    <row r="323">
      <c r="A323" s="105"/>
      <c r="B323" s="105"/>
      <c r="C323" s="105"/>
      <c r="E323" s="105"/>
      <c r="G323" s="105"/>
    </row>
    <row r="324">
      <c r="A324" s="105"/>
      <c r="B324" s="105"/>
      <c r="C324" s="105"/>
      <c r="E324" s="105"/>
      <c r="G324" s="105"/>
    </row>
    <row r="325">
      <c r="A325" s="105"/>
      <c r="B325" s="105"/>
      <c r="C325" s="105"/>
      <c r="E325" s="105"/>
      <c r="G325" s="105"/>
    </row>
    <row r="326">
      <c r="A326" s="105"/>
      <c r="B326" s="105"/>
      <c r="C326" s="105"/>
      <c r="E326" s="105"/>
      <c r="G326" s="105"/>
    </row>
    <row r="327">
      <c r="A327" s="105"/>
      <c r="B327" s="105"/>
      <c r="C327" s="105"/>
      <c r="E327" s="105"/>
      <c r="G327" s="105"/>
    </row>
    <row r="328">
      <c r="A328" s="105"/>
      <c r="B328" s="105"/>
      <c r="C328" s="105"/>
      <c r="E328" s="105"/>
      <c r="G328" s="105"/>
    </row>
    <row r="329">
      <c r="A329" s="105"/>
      <c r="B329" s="105"/>
      <c r="C329" s="105"/>
      <c r="E329" s="105"/>
      <c r="G329" s="105"/>
    </row>
    <row r="330">
      <c r="A330" s="105"/>
      <c r="B330" s="105"/>
      <c r="C330" s="105"/>
      <c r="E330" s="105"/>
      <c r="G330" s="105"/>
    </row>
    <row r="331">
      <c r="A331" s="105"/>
      <c r="B331" s="105"/>
      <c r="C331" s="105"/>
      <c r="E331" s="105"/>
      <c r="G331" s="105"/>
    </row>
    <row r="332">
      <c r="A332" s="105"/>
      <c r="B332" s="105"/>
      <c r="C332" s="105"/>
      <c r="E332" s="105"/>
      <c r="G332" s="105"/>
    </row>
    <row r="333">
      <c r="A333" s="105"/>
      <c r="B333" s="105"/>
      <c r="C333" s="105"/>
      <c r="E333" s="105"/>
      <c r="G333" s="105"/>
    </row>
    <row r="334">
      <c r="A334" s="105"/>
      <c r="B334" s="105"/>
      <c r="C334" s="105"/>
      <c r="E334" s="105"/>
      <c r="G334" s="105"/>
    </row>
    <row r="335">
      <c r="A335" s="105"/>
      <c r="B335" s="105"/>
      <c r="C335" s="105"/>
      <c r="E335" s="105"/>
      <c r="G335" s="105"/>
    </row>
    <row r="336">
      <c r="A336" s="105"/>
      <c r="B336" s="105"/>
      <c r="C336" s="105"/>
      <c r="E336" s="105"/>
      <c r="G336" s="105"/>
    </row>
    <row r="337">
      <c r="A337" s="105"/>
      <c r="B337" s="105"/>
      <c r="C337" s="105"/>
      <c r="E337" s="105"/>
      <c r="G337" s="105"/>
    </row>
    <row r="338">
      <c r="A338" s="105"/>
      <c r="B338" s="105"/>
      <c r="C338" s="105"/>
      <c r="E338" s="105"/>
      <c r="G338" s="105"/>
    </row>
    <row r="339">
      <c r="A339" s="105"/>
      <c r="B339" s="105"/>
      <c r="C339" s="105"/>
      <c r="E339" s="105"/>
      <c r="G339" s="105"/>
    </row>
    <row r="340">
      <c r="A340" s="105"/>
      <c r="B340" s="105"/>
      <c r="C340" s="105"/>
      <c r="E340" s="105"/>
      <c r="G340" s="105"/>
    </row>
    <row r="341">
      <c r="A341" s="105"/>
      <c r="B341" s="105"/>
      <c r="C341" s="105"/>
      <c r="E341" s="105"/>
      <c r="G341" s="105"/>
    </row>
    <row r="342">
      <c r="A342" s="105"/>
      <c r="B342" s="105"/>
      <c r="C342" s="105"/>
      <c r="E342" s="105"/>
      <c r="G342" s="105"/>
    </row>
    <row r="343">
      <c r="A343" s="105"/>
      <c r="B343" s="105"/>
      <c r="C343" s="105"/>
      <c r="E343" s="105"/>
      <c r="G343" s="105"/>
    </row>
    <row r="344">
      <c r="A344" s="105"/>
      <c r="B344" s="105"/>
      <c r="C344" s="105"/>
      <c r="E344" s="105"/>
      <c r="G344" s="105"/>
    </row>
    <row r="345">
      <c r="A345" s="105"/>
      <c r="B345" s="105"/>
      <c r="C345" s="105"/>
      <c r="E345" s="105"/>
      <c r="G345" s="105"/>
    </row>
    <row r="346">
      <c r="A346" s="105"/>
      <c r="B346" s="105"/>
      <c r="C346" s="105"/>
      <c r="E346" s="105"/>
      <c r="G346" s="105"/>
    </row>
    <row r="347">
      <c r="A347" s="105"/>
      <c r="B347" s="105"/>
      <c r="C347" s="105"/>
      <c r="E347" s="105"/>
      <c r="G347" s="105"/>
    </row>
    <row r="348">
      <c r="A348" s="105"/>
      <c r="B348" s="105"/>
      <c r="C348" s="105"/>
      <c r="E348" s="105"/>
      <c r="G348" s="105"/>
    </row>
    <row r="349">
      <c r="A349" s="105"/>
      <c r="B349" s="105"/>
      <c r="C349" s="105"/>
      <c r="E349" s="105"/>
      <c r="G349" s="105"/>
    </row>
    <row r="350">
      <c r="A350" s="105"/>
      <c r="B350" s="105"/>
      <c r="C350" s="105"/>
      <c r="E350" s="105"/>
      <c r="G350" s="105"/>
    </row>
    <row r="351">
      <c r="A351" s="105"/>
      <c r="B351" s="105"/>
      <c r="C351" s="105"/>
      <c r="E351" s="105"/>
      <c r="G351" s="105"/>
    </row>
    <row r="352">
      <c r="A352" s="105"/>
      <c r="B352" s="105"/>
      <c r="C352" s="105"/>
      <c r="E352" s="105"/>
      <c r="G352" s="105"/>
    </row>
    <row r="353">
      <c r="A353" s="105"/>
      <c r="B353" s="105"/>
      <c r="C353" s="105"/>
      <c r="E353" s="105"/>
      <c r="G353" s="105"/>
    </row>
    <row r="354">
      <c r="A354" s="105"/>
      <c r="B354" s="105"/>
      <c r="C354" s="105"/>
      <c r="E354" s="105"/>
      <c r="G354" s="105"/>
    </row>
    <row r="355">
      <c r="A355" s="105"/>
      <c r="B355" s="105"/>
      <c r="C355" s="105"/>
      <c r="E355" s="105"/>
      <c r="G355" s="105"/>
    </row>
    <row r="356">
      <c r="A356" s="105"/>
      <c r="B356" s="105"/>
      <c r="C356" s="105"/>
      <c r="E356" s="105"/>
      <c r="G356" s="105"/>
    </row>
    <row r="357">
      <c r="A357" s="105"/>
      <c r="B357" s="105"/>
      <c r="C357" s="105"/>
      <c r="E357" s="105"/>
      <c r="G357" s="105"/>
    </row>
    <row r="358">
      <c r="A358" s="105"/>
      <c r="B358" s="105"/>
      <c r="C358" s="105"/>
      <c r="E358" s="105"/>
      <c r="G358" s="105"/>
    </row>
    <row r="359">
      <c r="A359" s="105"/>
      <c r="B359" s="105"/>
      <c r="C359" s="105"/>
      <c r="E359" s="105"/>
      <c r="G359" s="105"/>
    </row>
    <row r="360">
      <c r="A360" s="105"/>
      <c r="B360" s="105"/>
      <c r="C360" s="105"/>
      <c r="E360" s="105"/>
      <c r="G360" s="105"/>
    </row>
    <row r="361">
      <c r="A361" s="105"/>
      <c r="B361" s="105"/>
      <c r="C361" s="105"/>
      <c r="E361" s="105"/>
      <c r="G361" s="105"/>
    </row>
    <row r="362">
      <c r="A362" s="105"/>
      <c r="B362" s="105"/>
      <c r="C362" s="105"/>
      <c r="E362" s="105"/>
      <c r="G362" s="105"/>
    </row>
    <row r="363">
      <c r="A363" s="105"/>
      <c r="B363" s="105"/>
      <c r="C363" s="105"/>
      <c r="E363" s="105"/>
      <c r="G363" s="105"/>
    </row>
    <row r="364">
      <c r="A364" s="105"/>
      <c r="B364" s="105"/>
      <c r="C364" s="105"/>
      <c r="E364" s="105"/>
      <c r="G364" s="105"/>
    </row>
    <row r="365">
      <c r="A365" s="105"/>
      <c r="B365" s="105"/>
      <c r="C365" s="105"/>
      <c r="E365" s="105"/>
      <c r="G365" s="105"/>
    </row>
    <row r="366">
      <c r="A366" s="105"/>
      <c r="B366" s="105"/>
      <c r="C366" s="105"/>
      <c r="E366" s="105"/>
      <c r="G366" s="105"/>
    </row>
    <row r="367">
      <c r="A367" s="105"/>
      <c r="B367" s="105"/>
      <c r="C367" s="105"/>
      <c r="E367" s="105"/>
      <c r="G367" s="105"/>
    </row>
    <row r="368">
      <c r="A368" s="105"/>
      <c r="B368" s="105"/>
      <c r="C368" s="105"/>
      <c r="E368" s="105"/>
      <c r="G368" s="105"/>
    </row>
    <row r="369">
      <c r="A369" s="105"/>
      <c r="B369" s="105"/>
      <c r="C369" s="105"/>
      <c r="E369" s="105"/>
      <c r="G369" s="105"/>
    </row>
    <row r="370">
      <c r="A370" s="105"/>
      <c r="B370" s="105"/>
      <c r="C370" s="105"/>
      <c r="E370" s="105"/>
      <c r="G370" s="105"/>
    </row>
    <row r="371">
      <c r="A371" s="105"/>
      <c r="B371" s="105"/>
      <c r="C371" s="105"/>
      <c r="E371" s="105"/>
      <c r="G371" s="105"/>
    </row>
    <row r="372">
      <c r="A372" s="105"/>
      <c r="B372" s="105"/>
      <c r="C372" s="105"/>
      <c r="E372" s="105"/>
      <c r="G372" s="105"/>
    </row>
    <row r="373">
      <c r="A373" s="105"/>
      <c r="B373" s="105"/>
      <c r="C373" s="105"/>
      <c r="E373" s="105"/>
      <c r="G373" s="105"/>
    </row>
    <row r="374">
      <c r="A374" s="105"/>
      <c r="B374" s="105"/>
      <c r="C374" s="105"/>
      <c r="E374" s="105"/>
      <c r="G374" s="105"/>
    </row>
    <row r="375">
      <c r="A375" s="105"/>
      <c r="B375" s="105"/>
      <c r="C375" s="105"/>
      <c r="E375" s="105"/>
      <c r="G375" s="105"/>
    </row>
    <row r="376">
      <c r="A376" s="105"/>
      <c r="B376" s="105"/>
      <c r="C376" s="105"/>
      <c r="E376" s="105"/>
      <c r="G376" s="105"/>
    </row>
    <row r="377">
      <c r="A377" s="105"/>
      <c r="B377" s="105"/>
      <c r="C377" s="105"/>
      <c r="E377" s="105"/>
      <c r="G377" s="105"/>
    </row>
    <row r="378">
      <c r="A378" s="105"/>
      <c r="B378" s="105"/>
      <c r="C378" s="105"/>
      <c r="E378" s="105"/>
      <c r="G378" s="105"/>
    </row>
    <row r="379">
      <c r="A379" s="105"/>
      <c r="B379" s="105"/>
      <c r="C379" s="105"/>
      <c r="E379" s="105"/>
      <c r="G379" s="105"/>
    </row>
    <row r="380">
      <c r="A380" s="105"/>
      <c r="B380" s="105"/>
      <c r="C380" s="105"/>
      <c r="E380" s="105"/>
      <c r="G380" s="105"/>
    </row>
    <row r="381">
      <c r="A381" s="105"/>
      <c r="B381" s="105"/>
      <c r="C381" s="105"/>
      <c r="E381" s="105"/>
      <c r="G381" s="105"/>
    </row>
    <row r="382">
      <c r="A382" s="105"/>
      <c r="B382" s="105"/>
      <c r="C382" s="105"/>
      <c r="E382" s="105"/>
      <c r="G382" s="105"/>
    </row>
    <row r="383">
      <c r="A383" s="105"/>
      <c r="B383" s="105"/>
      <c r="C383" s="105"/>
      <c r="E383" s="105"/>
      <c r="G383" s="105"/>
    </row>
    <row r="384">
      <c r="A384" s="105"/>
      <c r="B384" s="105"/>
      <c r="C384" s="105"/>
      <c r="E384" s="105"/>
      <c r="G384" s="105"/>
    </row>
    <row r="385">
      <c r="A385" s="105"/>
      <c r="B385" s="105"/>
      <c r="C385" s="105"/>
      <c r="E385" s="105"/>
      <c r="G385" s="105"/>
    </row>
    <row r="386">
      <c r="A386" s="105"/>
      <c r="B386" s="105"/>
      <c r="C386" s="105"/>
      <c r="E386" s="105"/>
      <c r="G386" s="105"/>
    </row>
    <row r="387">
      <c r="A387" s="105"/>
      <c r="B387" s="105"/>
      <c r="C387" s="105"/>
      <c r="E387" s="105"/>
      <c r="G387" s="105"/>
    </row>
    <row r="388">
      <c r="A388" s="105"/>
      <c r="B388" s="105"/>
      <c r="C388" s="105"/>
      <c r="E388" s="105"/>
      <c r="G388" s="105"/>
    </row>
    <row r="389">
      <c r="A389" s="105"/>
      <c r="B389" s="105"/>
      <c r="C389" s="105"/>
      <c r="E389" s="105"/>
      <c r="G389" s="105"/>
    </row>
    <row r="390">
      <c r="A390" s="105"/>
      <c r="B390" s="105"/>
      <c r="C390" s="105"/>
      <c r="E390" s="105"/>
      <c r="G390" s="105"/>
    </row>
    <row r="391">
      <c r="A391" s="105"/>
      <c r="B391" s="105"/>
      <c r="C391" s="105"/>
      <c r="E391" s="105"/>
      <c r="G391" s="105"/>
    </row>
    <row r="392">
      <c r="A392" s="105"/>
      <c r="B392" s="105"/>
      <c r="C392" s="105"/>
      <c r="E392" s="105"/>
      <c r="G392" s="105"/>
    </row>
    <row r="393">
      <c r="A393" s="105"/>
      <c r="B393" s="105"/>
      <c r="C393" s="105"/>
      <c r="E393" s="105"/>
      <c r="G393" s="105"/>
    </row>
    <row r="394">
      <c r="A394" s="105"/>
      <c r="B394" s="105"/>
      <c r="C394" s="105"/>
      <c r="E394" s="105"/>
      <c r="G394" s="105"/>
    </row>
    <row r="395">
      <c r="A395" s="105"/>
      <c r="B395" s="105"/>
      <c r="C395" s="105"/>
      <c r="E395" s="105"/>
      <c r="G395" s="105"/>
    </row>
    <row r="396">
      <c r="A396" s="105"/>
      <c r="B396" s="105"/>
      <c r="C396" s="105"/>
      <c r="E396" s="105"/>
      <c r="G396" s="105"/>
    </row>
    <row r="397">
      <c r="A397" s="105"/>
      <c r="B397" s="105"/>
      <c r="C397" s="105"/>
      <c r="E397" s="105"/>
      <c r="G397" s="105"/>
    </row>
    <row r="398">
      <c r="A398" s="105"/>
      <c r="B398" s="105"/>
      <c r="C398" s="105"/>
      <c r="E398" s="105"/>
      <c r="G398" s="105"/>
    </row>
    <row r="399">
      <c r="A399" s="105"/>
      <c r="B399" s="105"/>
      <c r="C399" s="105"/>
      <c r="E399" s="105"/>
      <c r="G399" s="105"/>
    </row>
    <row r="400">
      <c r="A400" s="105"/>
      <c r="B400" s="105"/>
      <c r="C400" s="105"/>
      <c r="E400" s="105"/>
      <c r="G400" s="105"/>
    </row>
    <row r="401">
      <c r="A401" s="105"/>
      <c r="B401" s="105"/>
      <c r="C401" s="105"/>
      <c r="E401" s="105"/>
      <c r="G401" s="105"/>
    </row>
    <row r="402">
      <c r="A402" s="105"/>
      <c r="B402" s="105"/>
      <c r="C402" s="105"/>
      <c r="E402" s="105"/>
      <c r="G402" s="105"/>
    </row>
    <row r="403">
      <c r="A403" s="105"/>
      <c r="B403" s="105"/>
      <c r="C403" s="105"/>
      <c r="E403" s="105"/>
      <c r="G403" s="105"/>
    </row>
    <row r="404">
      <c r="A404" s="105"/>
      <c r="B404" s="105"/>
      <c r="C404" s="105"/>
      <c r="E404" s="105"/>
      <c r="G404" s="105"/>
    </row>
    <row r="405">
      <c r="A405" s="105"/>
      <c r="B405" s="105"/>
      <c r="C405" s="105"/>
      <c r="E405" s="105"/>
      <c r="G405" s="105"/>
    </row>
    <row r="406">
      <c r="A406" s="105"/>
      <c r="B406" s="105"/>
      <c r="C406" s="105"/>
      <c r="E406" s="105"/>
      <c r="G406" s="105"/>
    </row>
    <row r="407">
      <c r="A407" s="105"/>
      <c r="B407" s="105"/>
      <c r="C407" s="105"/>
      <c r="E407" s="105"/>
      <c r="G407" s="105"/>
    </row>
    <row r="408">
      <c r="A408" s="105"/>
      <c r="B408" s="105"/>
      <c r="C408" s="105"/>
      <c r="E408" s="105"/>
      <c r="G408" s="105"/>
    </row>
    <row r="409">
      <c r="A409" s="105"/>
      <c r="B409" s="105"/>
      <c r="C409" s="105"/>
      <c r="E409" s="105"/>
      <c r="G409" s="105"/>
    </row>
    <row r="410">
      <c r="A410" s="105"/>
      <c r="B410" s="105"/>
      <c r="C410" s="105"/>
      <c r="E410" s="105"/>
      <c r="G410" s="105"/>
    </row>
    <row r="411">
      <c r="A411" s="105"/>
      <c r="B411" s="105"/>
      <c r="C411" s="105"/>
      <c r="E411" s="105"/>
      <c r="G411" s="105"/>
    </row>
    <row r="412">
      <c r="A412" s="105"/>
      <c r="B412" s="105"/>
      <c r="C412" s="105"/>
      <c r="E412" s="105"/>
      <c r="G412" s="105"/>
    </row>
    <row r="413">
      <c r="A413" s="105"/>
      <c r="B413" s="105"/>
      <c r="C413" s="105"/>
      <c r="E413" s="105"/>
      <c r="G413" s="105"/>
    </row>
    <row r="414">
      <c r="A414" s="105"/>
      <c r="B414" s="105"/>
      <c r="C414" s="105"/>
      <c r="E414" s="105"/>
      <c r="G414" s="105"/>
    </row>
    <row r="415">
      <c r="A415" s="105"/>
      <c r="B415" s="105"/>
      <c r="C415" s="105"/>
      <c r="E415" s="105"/>
      <c r="G415" s="105"/>
    </row>
    <row r="416">
      <c r="A416" s="105"/>
      <c r="B416" s="105"/>
      <c r="C416" s="105"/>
      <c r="E416" s="105"/>
      <c r="G416" s="105"/>
    </row>
    <row r="417">
      <c r="A417" s="105"/>
      <c r="B417" s="105"/>
      <c r="C417" s="105"/>
      <c r="E417" s="105"/>
      <c r="G417" s="105"/>
    </row>
    <row r="418">
      <c r="A418" s="105"/>
      <c r="B418" s="105"/>
      <c r="C418" s="105"/>
      <c r="E418" s="105"/>
      <c r="G418" s="105"/>
    </row>
    <row r="419">
      <c r="A419" s="105"/>
      <c r="B419" s="105"/>
      <c r="C419" s="105"/>
      <c r="E419" s="105"/>
      <c r="G419" s="105"/>
    </row>
    <row r="420">
      <c r="A420" s="105"/>
      <c r="B420" s="105"/>
      <c r="C420" s="105"/>
      <c r="E420" s="105"/>
      <c r="G420" s="105"/>
    </row>
    <row r="421">
      <c r="A421" s="105"/>
      <c r="B421" s="105"/>
      <c r="C421" s="105"/>
      <c r="E421" s="105"/>
      <c r="G421" s="105"/>
    </row>
    <row r="422">
      <c r="A422" s="105"/>
      <c r="B422" s="105"/>
      <c r="C422" s="105"/>
      <c r="E422" s="105"/>
      <c r="G422" s="105"/>
    </row>
    <row r="423">
      <c r="A423" s="105"/>
      <c r="B423" s="105"/>
      <c r="C423" s="105"/>
      <c r="E423" s="105"/>
      <c r="G423" s="105"/>
    </row>
    <row r="424">
      <c r="A424" s="105"/>
      <c r="B424" s="105"/>
      <c r="C424" s="105"/>
      <c r="E424" s="105"/>
      <c r="G424" s="105"/>
    </row>
    <row r="425">
      <c r="A425" s="105"/>
      <c r="B425" s="105"/>
      <c r="C425" s="105"/>
      <c r="E425" s="105"/>
      <c r="G425" s="105"/>
    </row>
    <row r="426">
      <c r="A426" s="105"/>
      <c r="B426" s="105"/>
      <c r="C426" s="105"/>
      <c r="E426" s="105"/>
      <c r="G426" s="105"/>
    </row>
    <row r="427">
      <c r="A427" s="105"/>
      <c r="B427" s="105"/>
      <c r="C427" s="105"/>
      <c r="E427" s="105"/>
      <c r="G427" s="105"/>
    </row>
    <row r="428">
      <c r="A428" s="105"/>
      <c r="B428" s="105"/>
      <c r="C428" s="105"/>
      <c r="E428" s="105"/>
      <c r="G428" s="105"/>
    </row>
    <row r="429">
      <c r="A429" s="105"/>
      <c r="B429" s="105"/>
      <c r="C429" s="105"/>
      <c r="E429" s="105"/>
      <c r="G429" s="105"/>
    </row>
    <row r="430">
      <c r="A430" s="105"/>
      <c r="B430" s="105"/>
      <c r="C430" s="105"/>
      <c r="E430" s="105"/>
      <c r="G430" s="105"/>
    </row>
    <row r="431">
      <c r="A431" s="105"/>
      <c r="B431" s="105"/>
      <c r="C431" s="105"/>
      <c r="E431" s="105"/>
      <c r="G431" s="105"/>
    </row>
    <row r="432">
      <c r="A432" s="105"/>
      <c r="B432" s="105"/>
      <c r="C432" s="105"/>
      <c r="E432" s="105"/>
      <c r="G432" s="105"/>
    </row>
    <row r="433">
      <c r="A433" s="105"/>
      <c r="B433" s="105"/>
      <c r="C433" s="105"/>
      <c r="E433" s="105"/>
      <c r="G433" s="105"/>
    </row>
    <row r="434">
      <c r="A434" s="105"/>
      <c r="B434" s="105"/>
      <c r="C434" s="105"/>
      <c r="E434" s="105"/>
      <c r="G434" s="105"/>
    </row>
    <row r="435">
      <c r="A435" s="105"/>
      <c r="B435" s="105"/>
      <c r="C435" s="105"/>
      <c r="E435" s="105"/>
      <c r="G435" s="105"/>
    </row>
    <row r="436">
      <c r="A436" s="105"/>
      <c r="B436" s="105"/>
      <c r="C436" s="105"/>
      <c r="E436" s="105"/>
      <c r="G436" s="105"/>
    </row>
    <row r="437">
      <c r="A437" s="105"/>
      <c r="B437" s="105"/>
      <c r="C437" s="105"/>
      <c r="E437" s="105"/>
      <c r="G437" s="105"/>
    </row>
    <row r="438">
      <c r="A438" s="105"/>
      <c r="B438" s="105"/>
      <c r="C438" s="105"/>
      <c r="E438" s="105"/>
      <c r="G438" s="105"/>
    </row>
    <row r="439">
      <c r="A439" s="105"/>
      <c r="B439" s="105"/>
      <c r="C439" s="105"/>
      <c r="E439" s="105"/>
      <c r="G439" s="105"/>
    </row>
    <row r="440">
      <c r="A440" s="105"/>
      <c r="B440" s="105"/>
      <c r="C440" s="105"/>
      <c r="E440" s="105"/>
      <c r="G440" s="105"/>
    </row>
    <row r="441">
      <c r="A441" s="105"/>
      <c r="B441" s="105"/>
      <c r="C441" s="105"/>
      <c r="E441" s="105"/>
      <c r="G441" s="105"/>
    </row>
    <row r="442">
      <c r="A442" s="105"/>
      <c r="B442" s="105"/>
      <c r="C442" s="105"/>
      <c r="E442" s="105"/>
      <c r="G442" s="105"/>
    </row>
    <row r="443">
      <c r="A443" s="105"/>
      <c r="B443" s="105"/>
      <c r="C443" s="105"/>
      <c r="E443" s="105"/>
      <c r="G443" s="105"/>
    </row>
    <row r="444">
      <c r="A444" s="105"/>
      <c r="B444" s="105"/>
      <c r="C444" s="105"/>
      <c r="E444" s="105"/>
      <c r="G444" s="105"/>
    </row>
    <row r="445">
      <c r="A445" s="105"/>
      <c r="B445" s="105"/>
      <c r="C445" s="105"/>
      <c r="E445" s="105"/>
      <c r="G445" s="105"/>
    </row>
    <row r="446">
      <c r="A446" s="105"/>
      <c r="B446" s="105"/>
      <c r="C446" s="105"/>
      <c r="E446" s="105"/>
      <c r="G446" s="105"/>
    </row>
    <row r="447">
      <c r="A447" s="105"/>
      <c r="B447" s="105"/>
      <c r="C447" s="105"/>
      <c r="E447" s="105"/>
      <c r="G447" s="105"/>
    </row>
    <row r="448">
      <c r="A448" s="105"/>
      <c r="B448" s="105"/>
      <c r="C448" s="105"/>
      <c r="E448" s="105"/>
      <c r="G448" s="105"/>
    </row>
    <row r="449">
      <c r="A449" s="105"/>
      <c r="B449" s="105"/>
      <c r="C449" s="105"/>
      <c r="E449" s="105"/>
      <c r="G449" s="105"/>
    </row>
    <row r="450">
      <c r="A450" s="105"/>
      <c r="B450" s="105"/>
      <c r="C450" s="105"/>
      <c r="E450" s="105"/>
      <c r="G450" s="105"/>
    </row>
    <row r="451">
      <c r="A451" s="105"/>
      <c r="B451" s="105"/>
      <c r="C451" s="105"/>
      <c r="E451" s="105"/>
      <c r="G451" s="105"/>
    </row>
    <row r="452">
      <c r="A452" s="105"/>
      <c r="B452" s="105"/>
      <c r="C452" s="105"/>
      <c r="E452" s="105"/>
      <c r="G452" s="105"/>
    </row>
    <row r="453">
      <c r="A453" s="105"/>
      <c r="B453" s="105"/>
      <c r="C453" s="105"/>
      <c r="E453" s="105"/>
      <c r="G453" s="105"/>
    </row>
    <row r="454">
      <c r="A454" s="105"/>
      <c r="B454" s="105"/>
      <c r="C454" s="105"/>
      <c r="E454" s="105"/>
      <c r="G454" s="105"/>
    </row>
    <row r="455">
      <c r="A455" s="105"/>
      <c r="B455" s="105"/>
      <c r="C455" s="105"/>
      <c r="E455" s="105"/>
      <c r="G455" s="105"/>
    </row>
    <row r="456">
      <c r="A456" s="105"/>
      <c r="B456" s="105"/>
      <c r="C456" s="105"/>
      <c r="E456" s="105"/>
      <c r="G456" s="105"/>
    </row>
    <row r="457">
      <c r="A457" s="105"/>
      <c r="B457" s="105"/>
      <c r="C457" s="105"/>
      <c r="E457" s="105"/>
      <c r="G457" s="105"/>
    </row>
    <row r="458">
      <c r="A458" s="105"/>
      <c r="B458" s="105"/>
      <c r="C458" s="105"/>
      <c r="E458" s="105"/>
      <c r="G458" s="105"/>
    </row>
    <row r="459">
      <c r="A459" s="105"/>
      <c r="B459" s="105"/>
      <c r="C459" s="105"/>
      <c r="E459" s="105"/>
      <c r="G459" s="105"/>
    </row>
    <row r="460">
      <c r="A460" s="105"/>
      <c r="B460" s="105"/>
      <c r="C460" s="105"/>
      <c r="E460" s="105"/>
      <c r="G460" s="105"/>
    </row>
    <row r="461">
      <c r="A461" s="105"/>
      <c r="B461" s="105"/>
      <c r="C461" s="105"/>
      <c r="E461" s="105"/>
      <c r="G461" s="105"/>
    </row>
    <row r="462">
      <c r="A462" s="105"/>
      <c r="B462" s="105"/>
      <c r="C462" s="105"/>
      <c r="E462" s="105"/>
      <c r="G462" s="105"/>
    </row>
    <row r="463">
      <c r="A463" s="105"/>
      <c r="B463" s="105"/>
      <c r="C463" s="105"/>
      <c r="E463" s="105"/>
      <c r="G463" s="105"/>
    </row>
    <row r="464">
      <c r="A464" s="105"/>
      <c r="B464" s="105"/>
      <c r="C464" s="105"/>
      <c r="E464" s="105"/>
      <c r="G464" s="105"/>
    </row>
    <row r="465">
      <c r="A465" s="105"/>
      <c r="B465" s="105"/>
      <c r="C465" s="105"/>
      <c r="E465" s="105"/>
      <c r="G465" s="105"/>
    </row>
    <row r="466">
      <c r="A466" s="105"/>
      <c r="B466" s="105"/>
      <c r="C466" s="105"/>
      <c r="E466" s="105"/>
      <c r="G466" s="105"/>
    </row>
    <row r="467">
      <c r="A467" s="105"/>
      <c r="B467" s="105"/>
      <c r="C467" s="105"/>
      <c r="E467" s="105"/>
      <c r="G467" s="105"/>
    </row>
    <row r="468">
      <c r="A468" s="105"/>
      <c r="B468" s="105"/>
      <c r="C468" s="105"/>
      <c r="E468" s="105"/>
      <c r="G468" s="105"/>
    </row>
    <row r="469">
      <c r="A469" s="105"/>
      <c r="B469" s="105"/>
      <c r="C469" s="105"/>
      <c r="E469" s="105"/>
      <c r="G469" s="105"/>
    </row>
    <row r="470">
      <c r="A470" s="105"/>
      <c r="B470" s="105"/>
      <c r="C470" s="105"/>
      <c r="E470" s="105"/>
      <c r="G470" s="105"/>
    </row>
    <row r="471">
      <c r="A471" s="105"/>
      <c r="B471" s="105"/>
      <c r="C471" s="105"/>
      <c r="E471" s="105"/>
      <c r="G471" s="105"/>
    </row>
    <row r="472">
      <c r="A472" s="105"/>
      <c r="B472" s="105"/>
      <c r="C472" s="105"/>
      <c r="E472" s="105"/>
      <c r="G472" s="105"/>
    </row>
    <row r="473">
      <c r="A473" s="105"/>
      <c r="B473" s="105"/>
      <c r="C473" s="105"/>
      <c r="E473" s="105"/>
      <c r="G473" s="105"/>
    </row>
    <row r="474">
      <c r="A474" s="105"/>
      <c r="B474" s="105"/>
      <c r="C474" s="105"/>
      <c r="E474" s="105"/>
      <c r="G474" s="105"/>
    </row>
    <row r="475">
      <c r="A475" s="105"/>
      <c r="B475" s="105"/>
      <c r="C475" s="105"/>
      <c r="E475" s="105"/>
      <c r="G475" s="105"/>
    </row>
    <row r="476">
      <c r="A476" s="105"/>
      <c r="B476" s="105"/>
      <c r="C476" s="105"/>
      <c r="E476" s="105"/>
      <c r="G476" s="105"/>
    </row>
    <row r="477">
      <c r="A477" s="105"/>
      <c r="B477" s="105"/>
      <c r="C477" s="105"/>
      <c r="E477" s="105"/>
      <c r="G477" s="105"/>
    </row>
    <row r="478">
      <c r="A478" s="105"/>
      <c r="B478" s="105"/>
      <c r="C478" s="105"/>
      <c r="E478" s="105"/>
      <c r="G478" s="105"/>
    </row>
    <row r="479">
      <c r="A479" s="105"/>
      <c r="B479" s="105"/>
      <c r="C479" s="105"/>
      <c r="E479" s="105"/>
      <c r="G479" s="105"/>
    </row>
    <row r="480">
      <c r="A480" s="105"/>
      <c r="B480" s="105"/>
      <c r="C480" s="105"/>
      <c r="E480" s="105"/>
      <c r="G480" s="105"/>
    </row>
    <row r="481">
      <c r="A481" s="105"/>
      <c r="B481" s="105"/>
      <c r="C481" s="105"/>
      <c r="E481" s="105"/>
      <c r="G481" s="105"/>
    </row>
    <row r="482">
      <c r="A482" s="105"/>
      <c r="B482" s="105"/>
      <c r="C482" s="105"/>
      <c r="E482" s="105"/>
      <c r="G482" s="105"/>
    </row>
    <row r="483">
      <c r="A483" s="105"/>
      <c r="B483" s="105"/>
      <c r="C483" s="105"/>
      <c r="E483" s="105"/>
      <c r="G483" s="105"/>
    </row>
    <row r="484">
      <c r="A484" s="105"/>
      <c r="B484" s="105"/>
      <c r="C484" s="105"/>
      <c r="E484" s="105"/>
      <c r="G484" s="105"/>
    </row>
    <row r="485">
      <c r="A485" s="105"/>
      <c r="B485" s="105"/>
      <c r="C485" s="105"/>
      <c r="E485" s="105"/>
      <c r="G485" s="105"/>
    </row>
    <row r="486">
      <c r="A486" s="105"/>
      <c r="B486" s="105"/>
      <c r="C486" s="105"/>
      <c r="E486" s="105"/>
      <c r="G486" s="105"/>
    </row>
    <row r="487">
      <c r="A487" s="105"/>
      <c r="B487" s="105"/>
      <c r="C487" s="105"/>
      <c r="E487" s="105"/>
      <c r="G487" s="105"/>
    </row>
    <row r="488">
      <c r="A488" s="105"/>
      <c r="B488" s="105"/>
      <c r="C488" s="105"/>
      <c r="E488" s="105"/>
      <c r="G488" s="105"/>
    </row>
    <row r="489">
      <c r="A489" s="105"/>
      <c r="B489" s="105"/>
      <c r="C489" s="105"/>
      <c r="E489" s="105"/>
      <c r="G489" s="105"/>
    </row>
    <row r="490">
      <c r="A490" s="105"/>
      <c r="B490" s="105"/>
      <c r="C490" s="105"/>
      <c r="E490" s="105"/>
      <c r="G490" s="105"/>
    </row>
    <row r="491">
      <c r="A491" s="105"/>
      <c r="B491" s="105"/>
      <c r="C491" s="105"/>
      <c r="E491" s="105"/>
      <c r="G491" s="105"/>
    </row>
    <row r="492">
      <c r="A492" s="105"/>
      <c r="B492" s="105"/>
      <c r="C492" s="105"/>
      <c r="E492" s="105"/>
      <c r="G492" s="105"/>
    </row>
    <row r="493">
      <c r="A493" s="105"/>
      <c r="B493" s="105"/>
      <c r="C493" s="105"/>
      <c r="E493" s="105"/>
      <c r="G493" s="105"/>
    </row>
    <row r="494">
      <c r="A494" s="105"/>
      <c r="B494" s="105"/>
      <c r="C494" s="105"/>
      <c r="E494" s="105"/>
      <c r="G494" s="105"/>
    </row>
    <row r="495">
      <c r="A495" s="105"/>
      <c r="B495" s="105"/>
      <c r="C495" s="105"/>
      <c r="E495" s="105"/>
      <c r="G495" s="105"/>
    </row>
    <row r="496">
      <c r="A496" s="105"/>
      <c r="B496" s="105"/>
      <c r="C496" s="105"/>
      <c r="E496" s="105"/>
      <c r="G496" s="105"/>
    </row>
    <row r="497">
      <c r="A497" s="105"/>
      <c r="B497" s="105"/>
      <c r="C497" s="105"/>
      <c r="E497" s="105"/>
      <c r="G497" s="105"/>
    </row>
    <row r="498">
      <c r="A498" s="105"/>
      <c r="B498" s="105"/>
      <c r="C498" s="105"/>
      <c r="E498" s="105"/>
      <c r="G498" s="105"/>
    </row>
    <row r="499">
      <c r="A499" s="105"/>
      <c r="B499" s="105"/>
      <c r="C499" s="105"/>
      <c r="E499" s="105"/>
      <c r="G499" s="105"/>
    </row>
    <row r="500">
      <c r="A500" s="105"/>
      <c r="B500" s="105"/>
      <c r="C500" s="105"/>
      <c r="E500" s="105"/>
      <c r="G500" s="105"/>
    </row>
    <row r="501">
      <c r="A501" s="105"/>
      <c r="B501" s="105"/>
      <c r="C501" s="105"/>
      <c r="E501" s="105"/>
      <c r="G501" s="105"/>
    </row>
    <row r="502">
      <c r="A502" s="105"/>
      <c r="B502" s="105"/>
      <c r="C502" s="105"/>
      <c r="E502" s="105"/>
      <c r="G502" s="105"/>
    </row>
    <row r="503">
      <c r="A503" s="105"/>
      <c r="B503" s="105"/>
      <c r="C503" s="105"/>
      <c r="E503" s="105"/>
      <c r="G503" s="105"/>
    </row>
    <row r="504">
      <c r="A504" s="105"/>
      <c r="B504" s="105"/>
      <c r="C504" s="105"/>
      <c r="E504" s="105"/>
      <c r="G504" s="105"/>
    </row>
    <row r="505">
      <c r="A505" s="105"/>
      <c r="B505" s="105"/>
      <c r="C505" s="105"/>
      <c r="E505" s="105"/>
      <c r="G505" s="105"/>
    </row>
    <row r="506">
      <c r="A506" s="105"/>
      <c r="B506" s="105"/>
      <c r="C506" s="105"/>
      <c r="E506" s="105"/>
      <c r="G506" s="105"/>
    </row>
    <row r="507">
      <c r="A507" s="105"/>
      <c r="B507" s="105"/>
      <c r="C507" s="105"/>
      <c r="E507" s="105"/>
      <c r="G507" s="105"/>
    </row>
    <row r="508">
      <c r="A508" s="105"/>
      <c r="B508" s="105"/>
      <c r="C508" s="105"/>
      <c r="E508" s="105"/>
      <c r="G508" s="105"/>
    </row>
    <row r="509">
      <c r="A509" s="105"/>
      <c r="B509" s="105"/>
      <c r="C509" s="105"/>
      <c r="E509" s="105"/>
      <c r="G509" s="105"/>
    </row>
    <row r="510">
      <c r="A510" s="105"/>
      <c r="B510" s="105"/>
      <c r="C510" s="105"/>
      <c r="E510" s="105"/>
      <c r="G510" s="105"/>
    </row>
    <row r="511">
      <c r="A511" s="105"/>
      <c r="B511" s="105"/>
      <c r="C511" s="105"/>
      <c r="E511" s="105"/>
      <c r="G511" s="105"/>
    </row>
    <row r="512">
      <c r="A512" s="105"/>
      <c r="B512" s="105"/>
      <c r="C512" s="105"/>
      <c r="E512" s="105"/>
      <c r="G512" s="105"/>
    </row>
    <row r="513">
      <c r="A513" s="105"/>
      <c r="B513" s="105"/>
      <c r="C513" s="105"/>
      <c r="E513" s="105"/>
      <c r="G513" s="105"/>
    </row>
    <row r="514">
      <c r="A514" s="105"/>
      <c r="B514" s="105"/>
      <c r="C514" s="105"/>
      <c r="E514" s="105"/>
      <c r="G514" s="105"/>
    </row>
    <row r="515">
      <c r="A515" s="105"/>
      <c r="B515" s="105"/>
      <c r="C515" s="105"/>
      <c r="E515" s="105"/>
      <c r="G515" s="105"/>
    </row>
    <row r="516">
      <c r="A516" s="105"/>
      <c r="B516" s="105"/>
      <c r="C516" s="105"/>
      <c r="E516" s="105"/>
      <c r="G516" s="105"/>
    </row>
    <row r="517">
      <c r="A517" s="105"/>
      <c r="B517" s="105"/>
      <c r="C517" s="105"/>
      <c r="E517" s="105"/>
      <c r="G517" s="105"/>
    </row>
    <row r="518">
      <c r="A518" s="105"/>
      <c r="B518" s="105"/>
      <c r="C518" s="105"/>
      <c r="E518" s="105"/>
      <c r="G518" s="105"/>
    </row>
    <row r="519">
      <c r="A519" s="105"/>
      <c r="B519" s="105"/>
      <c r="C519" s="105"/>
      <c r="E519" s="105"/>
      <c r="G519" s="105"/>
    </row>
    <row r="520">
      <c r="A520" s="105"/>
      <c r="B520" s="105"/>
      <c r="C520" s="105"/>
      <c r="E520" s="105"/>
      <c r="G520" s="105"/>
    </row>
    <row r="521">
      <c r="A521" s="105"/>
      <c r="B521" s="105"/>
      <c r="C521" s="105"/>
      <c r="E521" s="105"/>
      <c r="G521" s="105"/>
    </row>
    <row r="522">
      <c r="A522" s="105"/>
      <c r="B522" s="105"/>
      <c r="C522" s="105"/>
      <c r="E522" s="105"/>
      <c r="G522" s="105"/>
    </row>
    <row r="523">
      <c r="A523" s="105"/>
      <c r="B523" s="105"/>
      <c r="C523" s="105"/>
      <c r="E523" s="105"/>
      <c r="G523" s="105"/>
    </row>
    <row r="524">
      <c r="A524" s="105"/>
      <c r="B524" s="105"/>
      <c r="C524" s="105"/>
      <c r="E524" s="105"/>
      <c r="G524" s="105"/>
    </row>
    <row r="525">
      <c r="A525" s="105"/>
      <c r="B525" s="105"/>
      <c r="C525" s="105"/>
      <c r="E525" s="105"/>
      <c r="G525" s="105"/>
    </row>
    <row r="526">
      <c r="A526" s="105"/>
      <c r="B526" s="105"/>
      <c r="C526" s="105"/>
      <c r="E526" s="105"/>
      <c r="G526" s="105"/>
    </row>
    <row r="527">
      <c r="A527" s="105"/>
      <c r="B527" s="105"/>
      <c r="C527" s="105"/>
      <c r="E527" s="105"/>
      <c r="G527" s="105"/>
    </row>
    <row r="528">
      <c r="A528" s="105"/>
      <c r="B528" s="105"/>
      <c r="C528" s="105"/>
      <c r="E528" s="105"/>
      <c r="G528" s="105"/>
    </row>
    <row r="529">
      <c r="A529" s="105"/>
      <c r="B529" s="105"/>
      <c r="C529" s="105"/>
      <c r="E529" s="105"/>
      <c r="G529" s="105"/>
    </row>
    <row r="530">
      <c r="A530" s="105"/>
      <c r="B530" s="105"/>
      <c r="C530" s="105"/>
      <c r="E530" s="105"/>
      <c r="G530" s="105"/>
    </row>
    <row r="531">
      <c r="A531" s="105"/>
      <c r="B531" s="105"/>
      <c r="C531" s="105"/>
      <c r="E531" s="105"/>
      <c r="G531" s="105"/>
    </row>
    <row r="532">
      <c r="A532" s="105"/>
      <c r="B532" s="105"/>
      <c r="C532" s="105"/>
      <c r="E532" s="105"/>
      <c r="G532" s="105"/>
    </row>
    <row r="533">
      <c r="A533" s="105"/>
      <c r="B533" s="105"/>
      <c r="C533" s="105"/>
      <c r="E533" s="105"/>
      <c r="G533" s="105"/>
    </row>
    <row r="534">
      <c r="A534" s="105"/>
      <c r="B534" s="105"/>
      <c r="C534" s="105"/>
      <c r="E534" s="105"/>
      <c r="G534" s="105"/>
    </row>
    <row r="535">
      <c r="A535" s="105"/>
      <c r="B535" s="105"/>
      <c r="C535" s="105"/>
      <c r="E535" s="105"/>
      <c r="G535" s="105"/>
    </row>
    <row r="536">
      <c r="A536" s="105"/>
      <c r="B536" s="105"/>
      <c r="C536" s="105"/>
      <c r="E536" s="105"/>
      <c r="G536" s="105"/>
    </row>
    <row r="537">
      <c r="A537" s="105"/>
      <c r="B537" s="105"/>
      <c r="C537" s="105"/>
      <c r="E537" s="105"/>
      <c r="G537" s="105"/>
    </row>
    <row r="538">
      <c r="A538" s="105"/>
      <c r="B538" s="105"/>
      <c r="C538" s="105"/>
      <c r="E538" s="105"/>
      <c r="G538" s="105"/>
    </row>
    <row r="539">
      <c r="A539" s="105"/>
      <c r="B539" s="105"/>
      <c r="C539" s="105"/>
      <c r="E539" s="105"/>
      <c r="G539" s="105"/>
    </row>
    <row r="540">
      <c r="A540" s="105"/>
      <c r="B540" s="105"/>
      <c r="C540" s="105"/>
      <c r="E540" s="105"/>
      <c r="G540" s="105"/>
    </row>
    <row r="541">
      <c r="A541" s="105"/>
      <c r="B541" s="105"/>
      <c r="C541" s="105"/>
      <c r="E541" s="105"/>
      <c r="G541" s="105"/>
    </row>
    <row r="542">
      <c r="A542" s="105"/>
      <c r="B542" s="105"/>
      <c r="C542" s="105"/>
      <c r="E542" s="105"/>
      <c r="G542" s="105"/>
    </row>
    <row r="543">
      <c r="A543" s="105"/>
      <c r="B543" s="105"/>
      <c r="C543" s="105"/>
      <c r="E543" s="105"/>
      <c r="G543" s="105"/>
    </row>
    <row r="544">
      <c r="A544" s="105"/>
      <c r="B544" s="105"/>
      <c r="C544" s="105"/>
      <c r="E544" s="105"/>
      <c r="G544" s="105"/>
    </row>
    <row r="545">
      <c r="A545" s="105"/>
      <c r="B545" s="105"/>
      <c r="C545" s="105"/>
      <c r="E545" s="105"/>
      <c r="G545" s="105"/>
    </row>
    <row r="546">
      <c r="A546" s="105"/>
      <c r="B546" s="105"/>
      <c r="C546" s="105"/>
      <c r="E546" s="105"/>
      <c r="G546" s="105"/>
    </row>
    <row r="547">
      <c r="A547" s="105"/>
      <c r="B547" s="105"/>
      <c r="C547" s="105"/>
      <c r="E547" s="105"/>
      <c r="G547" s="105"/>
    </row>
    <row r="548">
      <c r="A548" s="105"/>
      <c r="B548" s="105"/>
      <c r="C548" s="105"/>
      <c r="E548" s="105"/>
      <c r="G548" s="105"/>
    </row>
    <row r="549">
      <c r="A549" s="105"/>
      <c r="B549" s="105"/>
      <c r="C549" s="105"/>
      <c r="E549" s="105"/>
      <c r="G549" s="105"/>
    </row>
    <row r="550">
      <c r="A550" s="105"/>
      <c r="B550" s="105"/>
      <c r="C550" s="105"/>
      <c r="E550" s="105"/>
      <c r="G550" s="105"/>
    </row>
    <row r="551">
      <c r="A551" s="105"/>
      <c r="B551" s="105"/>
      <c r="C551" s="105"/>
      <c r="E551" s="105"/>
      <c r="G551" s="105"/>
    </row>
    <row r="552">
      <c r="A552" s="105"/>
      <c r="B552" s="105"/>
      <c r="C552" s="105"/>
      <c r="E552" s="105"/>
      <c r="G552" s="105"/>
    </row>
    <row r="553">
      <c r="A553" s="105"/>
      <c r="B553" s="105"/>
      <c r="C553" s="105"/>
      <c r="E553" s="105"/>
      <c r="G553" s="105"/>
    </row>
    <row r="554">
      <c r="A554" s="105"/>
      <c r="B554" s="105"/>
      <c r="C554" s="105"/>
      <c r="E554" s="105"/>
      <c r="G554" s="105"/>
    </row>
    <row r="555">
      <c r="A555" s="105"/>
      <c r="B555" s="105"/>
      <c r="C555" s="105"/>
      <c r="E555" s="105"/>
      <c r="G555" s="105"/>
    </row>
    <row r="556">
      <c r="A556" s="105"/>
      <c r="B556" s="105"/>
      <c r="C556" s="105"/>
      <c r="E556" s="105"/>
      <c r="G556" s="105"/>
    </row>
    <row r="557">
      <c r="A557" s="105"/>
      <c r="B557" s="105"/>
      <c r="C557" s="105"/>
      <c r="E557" s="105"/>
      <c r="G557" s="105"/>
    </row>
    <row r="558">
      <c r="A558" s="105"/>
      <c r="B558" s="105"/>
      <c r="C558" s="105"/>
      <c r="E558" s="105"/>
      <c r="G558" s="105"/>
    </row>
    <row r="559">
      <c r="A559" s="105"/>
      <c r="B559" s="105"/>
      <c r="C559" s="105"/>
      <c r="E559" s="105"/>
      <c r="G559" s="105"/>
    </row>
    <row r="560">
      <c r="A560" s="105"/>
      <c r="B560" s="105"/>
      <c r="C560" s="105"/>
      <c r="E560" s="105"/>
      <c r="G560" s="105"/>
    </row>
    <row r="561">
      <c r="A561" s="105"/>
      <c r="B561" s="105"/>
      <c r="C561" s="105"/>
      <c r="E561" s="105"/>
      <c r="G561" s="105"/>
    </row>
    <row r="562">
      <c r="A562" s="105"/>
      <c r="B562" s="105"/>
      <c r="C562" s="105"/>
      <c r="E562" s="105"/>
      <c r="G562" s="105"/>
    </row>
    <row r="563">
      <c r="A563" s="105"/>
      <c r="B563" s="105"/>
      <c r="C563" s="105"/>
      <c r="E563" s="105"/>
      <c r="G563" s="105"/>
    </row>
    <row r="564">
      <c r="A564" s="105"/>
      <c r="B564" s="105"/>
      <c r="C564" s="105"/>
      <c r="E564" s="105"/>
      <c r="G564" s="105"/>
    </row>
    <row r="565">
      <c r="A565" s="105"/>
      <c r="B565" s="105"/>
      <c r="C565" s="105"/>
      <c r="E565" s="105"/>
      <c r="G565" s="105"/>
    </row>
    <row r="566">
      <c r="A566" s="105"/>
      <c r="B566" s="105"/>
      <c r="C566" s="105"/>
      <c r="E566" s="105"/>
      <c r="G566" s="105"/>
    </row>
    <row r="567">
      <c r="A567" s="105"/>
      <c r="B567" s="105"/>
      <c r="C567" s="105"/>
      <c r="E567" s="105"/>
      <c r="G567" s="105"/>
    </row>
    <row r="568">
      <c r="A568" s="105"/>
      <c r="B568" s="105"/>
      <c r="C568" s="105"/>
      <c r="E568" s="105"/>
      <c r="G568" s="105"/>
    </row>
    <row r="569">
      <c r="A569" s="105"/>
      <c r="B569" s="105"/>
      <c r="C569" s="105"/>
      <c r="E569" s="105"/>
      <c r="G569" s="105"/>
    </row>
    <row r="570">
      <c r="A570" s="105"/>
      <c r="B570" s="105"/>
      <c r="C570" s="105"/>
      <c r="E570" s="105"/>
      <c r="G570" s="105"/>
    </row>
    <row r="571">
      <c r="A571" s="105"/>
      <c r="B571" s="105"/>
      <c r="C571" s="105"/>
      <c r="E571" s="105"/>
      <c r="G571" s="105"/>
    </row>
    <row r="572">
      <c r="A572" s="105"/>
      <c r="B572" s="105"/>
      <c r="C572" s="105"/>
      <c r="E572" s="105"/>
      <c r="G572" s="105"/>
    </row>
    <row r="573">
      <c r="A573" s="105"/>
      <c r="B573" s="105"/>
      <c r="C573" s="105"/>
      <c r="E573" s="105"/>
      <c r="G573" s="105"/>
    </row>
    <row r="574">
      <c r="A574" s="105"/>
      <c r="B574" s="105"/>
      <c r="C574" s="105"/>
      <c r="E574" s="105"/>
      <c r="G574" s="105"/>
    </row>
    <row r="575">
      <c r="A575" s="105"/>
      <c r="B575" s="105"/>
      <c r="C575" s="105"/>
      <c r="E575" s="105"/>
      <c r="G575" s="105"/>
    </row>
    <row r="576">
      <c r="A576" s="105"/>
      <c r="B576" s="105"/>
      <c r="C576" s="105"/>
      <c r="E576" s="105"/>
      <c r="G576" s="105"/>
    </row>
    <row r="577">
      <c r="A577" s="105"/>
      <c r="B577" s="105"/>
      <c r="C577" s="105"/>
      <c r="E577" s="105"/>
      <c r="G577" s="105"/>
    </row>
    <row r="578">
      <c r="A578" s="105"/>
      <c r="B578" s="105"/>
      <c r="C578" s="105"/>
      <c r="E578" s="105"/>
      <c r="G578" s="105"/>
    </row>
    <row r="579">
      <c r="A579" s="105"/>
      <c r="B579" s="105"/>
      <c r="C579" s="105"/>
      <c r="E579" s="105"/>
      <c r="G579" s="105"/>
    </row>
    <row r="580">
      <c r="A580" s="105"/>
      <c r="B580" s="105"/>
      <c r="C580" s="105"/>
      <c r="E580" s="105"/>
      <c r="G580" s="105"/>
    </row>
    <row r="581">
      <c r="A581" s="105"/>
      <c r="B581" s="105"/>
      <c r="C581" s="105"/>
      <c r="E581" s="105"/>
      <c r="G581" s="105"/>
    </row>
    <row r="582">
      <c r="A582" s="105"/>
      <c r="B582" s="105"/>
      <c r="C582" s="105"/>
      <c r="E582" s="105"/>
      <c r="G582" s="105"/>
    </row>
    <row r="583">
      <c r="A583" s="105"/>
      <c r="B583" s="105"/>
      <c r="C583" s="105"/>
      <c r="E583" s="105"/>
      <c r="G583" s="105"/>
    </row>
    <row r="584">
      <c r="A584" s="105"/>
      <c r="B584" s="105"/>
      <c r="C584" s="105"/>
      <c r="E584" s="105"/>
      <c r="G584" s="105"/>
    </row>
    <row r="585">
      <c r="A585" s="105"/>
      <c r="B585" s="105"/>
      <c r="C585" s="105"/>
      <c r="E585" s="105"/>
      <c r="G585" s="105"/>
    </row>
    <row r="586">
      <c r="A586" s="105"/>
      <c r="B586" s="105"/>
      <c r="C586" s="105"/>
      <c r="E586" s="105"/>
      <c r="G586" s="105"/>
    </row>
    <row r="587">
      <c r="A587" s="105"/>
      <c r="B587" s="105"/>
      <c r="C587" s="105"/>
      <c r="E587" s="105"/>
      <c r="G587" s="105"/>
    </row>
    <row r="588">
      <c r="A588" s="105"/>
      <c r="B588" s="105"/>
      <c r="C588" s="105"/>
      <c r="E588" s="105"/>
      <c r="G588" s="105"/>
    </row>
    <row r="589">
      <c r="A589" s="105"/>
      <c r="B589" s="105"/>
      <c r="C589" s="105"/>
      <c r="E589" s="105"/>
      <c r="G589" s="105"/>
    </row>
    <row r="590">
      <c r="A590" s="105"/>
      <c r="B590" s="105"/>
      <c r="C590" s="105"/>
      <c r="E590" s="105"/>
      <c r="G590" s="105"/>
    </row>
    <row r="591">
      <c r="A591" s="105"/>
      <c r="B591" s="105"/>
      <c r="C591" s="105"/>
      <c r="E591" s="105"/>
      <c r="G591" s="105"/>
    </row>
    <row r="592">
      <c r="A592" s="105"/>
      <c r="B592" s="105"/>
      <c r="C592" s="105"/>
      <c r="E592" s="105"/>
      <c r="G592" s="105"/>
    </row>
    <row r="593">
      <c r="A593" s="105"/>
      <c r="B593" s="105"/>
      <c r="C593" s="105"/>
      <c r="E593" s="105"/>
      <c r="G593" s="105"/>
    </row>
    <row r="594">
      <c r="A594" s="105"/>
      <c r="B594" s="105"/>
      <c r="C594" s="105"/>
      <c r="E594" s="105"/>
      <c r="G594" s="105"/>
    </row>
    <row r="595">
      <c r="A595" s="105"/>
      <c r="B595" s="105"/>
      <c r="C595" s="105"/>
      <c r="E595" s="105"/>
      <c r="G595" s="105"/>
    </row>
    <row r="596">
      <c r="A596" s="105"/>
      <c r="B596" s="105"/>
      <c r="C596" s="105"/>
      <c r="E596" s="105"/>
      <c r="G596" s="105"/>
    </row>
    <row r="597">
      <c r="A597" s="105"/>
      <c r="B597" s="105"/>
      <c r="C597" s="105"/>
      <c r="E597" s="105"/>
      <c r="G597" s="105"/>
    </row>
    <row r="598">
      <c r="A598" s="105"/>
      <c r="B598" s="105"/>
      <c r="C598" s="105"/>
      <c r="E598" s="105"/>
      <c r="G598" s="105"/>
    </row>
    <row r="599">
      <c r="A599" s="105"/>
      <c r="B599" s="105"/>
      <c r="C599" s="105"/>
      <c r="E599" s="105"/>
      <c r="G599" s="105"/>
    </row>
    <row r="600">
      <c r="A600" s="105"/>
      <c r="B600" s="105"/>
      <c r="C600" s="105"/>
      <c r="E600" s="105"/>
      <c r="G600" s="105"/>
    </row>
    <row r="601">
      <c r="A601" s="105"/>
      <c r="B601" s="105"/>
      <c r="C601" s="105"/>
      <c r="E601" s="105"/>
      <c r="G601" s="105"/>
    </row>
    <row r="602">
      <c r="A602" s="105"/>
      <c r="B602" s="105"/>
      <c r="C602" s="105"/>
      <c r="E602" s="105"/>
      <c r="G602" s="105"/>
    </row>
    <row r="603">
      <c r="A603" s="105"/>
      <c r="B603" s="105"/>
      <c r="C603" s="105"/>
      <c r="E603" s="105"/>
      <c r="G603" s="105"/>
    </row>
    <row r="604">
      <c r="A604" s="105"/>
      <c r="B604" s="105"/>
      <c r="C604" s="105"/>
      <c r="E604" s="105"/>
      <c r="G604" s="105"/>
    </row>
    <row r="605">
      <c r="A605" s="105"/>
      <c r="B605" s="105"/>
      <c r="C605" s="105"/>
      <c r="E605" s="105"/>
      <c r="G605" s="105"/>
    </row>
    <row r="606">
      <c r="A606" s="105"/>
      <c r="B606" s="105"/>
      <c r="C606" s="105"/>
      <c r="E606" s="105"/>
      <c r="G606" s="105"/>
    </row>
    <row r="607">
      <c r="A607" s="105"/>
      <c r="B607" s="105"/>
      <c r="C607" s="105"/>
      <c r="E607" s="105"/>
      <c r="G607" s="105"/>
    </row>
    <row r="608">
      <c r="A608" s="105"/>
      <c r="B608" s="105"/>
      <c r="C608" s="105"/>
      <c r="E608" s="105"/>
      <c r="G608" s="105"/>
    </row>
    <row r="609">
      <c r="A609" s="105"/>
      <c r="B609" s="105"/>
      <c r="C609" s="105"/>
      <c r="E609" s="105"/>
      <c r="G609" s="105"/>
    </row>
    <row r="610">
      <c r="A610" s="105"/>
      <c r="B610" s="105"/>
      <c r="C610" s="105"/>
      <c r="E610" s="105"/>
      <c r="G610" s="105"/>
    </row>
    <row r="611">
      <c r="A611" s="105"/>
      <c r="B611" s="105"/>
      <c r="C611" s="105"/>
      <c r="E611" s="105"/>
      <c r="G611" s="105"/>
    </row>
    <row r="612">
      <c r="A612" s="105"/>
      <c r="B612" s="105"/>
      <c r="C612" s="105"/>
      <c r="E612" s="105"/>
      <c r="G612" s="105"/>
    </row>
    <row r="613">
      <c r="A613" s="105"/>
      <c r="B613" s="105"/>
      <c r="C613" s="105"/>
      <c r="E613" s="105"/>
      <c r="G613" s="105"/>
    </row>
    <row r="614">
      <c r="A614" s="105"/>
      <c r="B614" s="105"/>
      <c r="C614" s="105"/>
      <c r="E614" s="105"/>
      <c r="G614" s="105"/>
    </row>
    <row r="615">
      <c r="A615" s="105"/>
      <c r="B615" s="105"/>
      <c r="C615" s="105"/>
      <c r="E615" s="105"/>
      <c r="G615" s="105"/>
    </row>
    <row r="616">
      <c r="A616" s="105"/>
      <c r="B616" s="105"/>
      <c r="C616" s="105"/>
      <c r="E616" s="105"/>
      <c r="G616" s="105"/>
    </row>
    <row r="617">
      <c r="A617" s="105"/>
      <c r="B617" s="105"/>
      <c r="C617" s="105"/>
      <c r="E617" s="105"/>
      <c r="G617" s="105"/>
    </row>
    <row r="618">
      <c r="A618" s="105"/>
      <c r="B618" s="105"/>
      <c r="C618" s="105"/>
      <c r="E618" s="105"/>
      <c r="G618" s="105"/>
    </row>
    <row r="619">
      <c r="A619" s="105"/>
      <c r="B619" s="105"/>
      <c r="C619" s="105"/>
      <c r="E619" s="105"/>
      <c r="G619" s="105"/>
    </row>
    <row r="620">
      <c r="A620" s="105"/>
      <c r="B620" s="105"/>
      <c r="C620" s="105"/>
      <c r="E620" s="105"/>
      <c r="G620" s="105"/>
    </row>
    <row r="621">
      <c r="A621" s="105"/>
      <c r="B621" s="105"/>
      <c r="C621" s="105"/>
      <c r="E621" s="105"/>
      <c r="G621" s="105"/>
    </row>
    <row r="622">
      <c r="A622" s="105"/>
      <c r="B622" s="105"/>
      <c r="C622" s="105"/>
      <c r="E622" s="105"/>
      <c r="G622" s="105"/>
    </row>
    <row r="623">
      <c r="A623" s="105"/>
      <c r="B623" s="105"/>
      <c r="C623" s="105"/>
      <c r="E623" s="105"/>
      <c r="G623" s="105"/>
    </row>
    <row r="624">
      <c r="A624" s="105"/>
      <c r="B624" s="105"/>
      <c r="C624" s="105"/>
      <c r="E624" s="105"/>
      <c r="G624" s="105"/>
    </row>
    <row r="625">
      <c r="A625" s="105"/>
      <c r="B625" s="105"/>
      <c r="C625" s="105"/>
      <c r="E625" s="105"/>
      <c r="G625" s="105"/>
    </row>
    <row r="626">
      <c r="A626" s="105"/>
      <c r="B626" s="105"/>
      <c r="C626" s="105"/>
      <c r="E626" s="105"/>
      <c r="G626" s="105"/>
    </row>
    <row r="627">
      <c r="A627" s="105"/>
      <c r="B627" s="105"/>
      <c r="C627" s="105"/>
      <c r="E627" s="105"/>
      <c r="G627" s="105"/>
    </row>
    <row r="628">
      <c r="A628" s="105"/>
      <c r="B628" s="105"/>
      <c r="C628" s="105"/>
      <c r="E628" s="105"/>
      <c r="G628" s="105"/>
    </row>
    <row r="629">
      <c r="A629" s="105"/>
      <c r="B629" s="105"/>
      <c r="C629" s="105"/>
      <c r="E629" s="105"/>
      <c r="G629" s="105"/>
    </row>
    <row r="630">
      <c r="A630" s="105"/>
      <c r="B630" s="105"/>
      <c r="C630" s="105"/>
      <c r="E630" s="105"/>
      <c r="G630" s="105"/>
    </row>
    <row r="631">
      <c r="A631" s="105"/>
      <c r="B631" s="105"/>
      <c r="C631" s="105"/>
      <c r="E631" s="105"/>
      <c r="G631" s="105"/>
    </row>
    <row r="632">
      <c r="A632" s="105"/>
      <c r="B632" s="105"/>
      <c r="C632" s="105"/>
      <c r="E632" s="105"/>
      <c r="G632" s="105"/>
    </row>
    <row r="633">
      <c r="A633" s="105"/>
      <c r="B633" s="105"/>
      <c r="C633" s="105"/>
      <c r="E633" s="105"/>
      <c r="G633" s="105"/>
    </row>
    <row r="634">
      <c r="A634" s="105"/>
      <c r="B634" s="105"/>
      <c r="C634" s="105"/>
      <c r="E634" s="105"/>
      <c r="G634" s="105"/>
    </row>
    <row r="635">
      <c r="A635" s="105"/>
      <c r="B635" s="105"/>
      <c r="C635" s="105"/>
      <c r="E635" s="105"/>
      <c r="G635" s="105"/>
    </row>
    <row r="636">
      <c r="A636" s="105"/>
      <c r="B636" s="105"/>
      <c r="C636" s="105"/>
      <c r="E636" s="105"/>
      <c r="G636" s="105"/>
    </row>
    <row r="637">
      <c r="A637" s="105"/>
      <c r="B637" s="105"/>
      <c r="C637" s="105"/>
      <c r="E637" s="105"/>
      <c r="G637" s="105"/>
    </row>
    <row r="638">
      <c r="A638" s="105"/>
      <c r="B638" s="105"/>
      <c r="C638" s="105"/>
      <c r="E638" s="105"/>
      <c r="G638" s="105"/>
    </row>
    <row r="639">
      <c r="A639" s="105"/>
      <c r="B639" s="105"/>
      <c r="C639" s="105"/>
      <c r="E639" s="105"/>
      <c r="G639" s="105"/>
    </row>
    <row r="640">
      <c r="A640" s="105"/>
      <c r="B640" s="105"/>
      <c r="C640" s="105"/>
      <c r="E640" s="105"/>
      <c r="G640" s="105"/>
    </row>
    <row r="641">
      <c r="A641" s="105"/>
      <c r="B641" s="105"/>
      <c r="C641" s="105"/>
      <c r="E641" s="105"/>
      <c r="G641" s="105"/>
    </row>
    <row r="642">
      <c r="A642" s="105"/>
      <c r="B642" s="105"/>
      <c r="C642" s="105"/>
      <c r="E642" s="105"/>
      <c r="G642" s="105"/>
    </row>
    <row r="643">
      <c r="A643" s="105"/>
      <c r="B643" s="105"/>
      <c r="C643" s="105"/>
      <c r="E643" s="105"/>
      <c r="G643" s="105"/>
    </row>
    <row r="644">
      <c r="A644" s="105"/>
      <c r="B644" s="105"/>
      <c r="C644" s="105"/>
      <c r="E644" s="105"/>
      <c r="G644" s="105"/>
    </row>
    <row r="645">
      <c r="A645" s="105"/>
      <c r="B645" s="105"/>
      <c r="C645" s="105"/>
      <c r="E645" s="105"/>
      <c r="G645" s="105"/>
    </row>
    <row r="646">
      <c r="A646" s="105"/>
      <c r="B646" s="105"/>
      <c r="C646" s="105"/>
      <c r="E646" s="105"/>
      <c r="G646" s="105"/>
    </row>
    <row r="647">
      <c r="A647" s="105"/>
      <c r="B647" s="105"/>
      <c r="C647" s="105"/>
      <c r="E647" s="105"/>
      <c r="G647" s="105"/>
    </row>
    <row r="648">
      <c r="A648" s="105"/>
      <c r="B648" s="105"/>
      <c r="C648" s="105"/>
      <c r="E648" s="105"/>
      <c r="G648" s="105"/>
    </row>
    <row r="649">
      <c r="A649" s="105"/>
      <c r="B649" s="105"/>
      <c r="C649" s="105"/>
      <c r="E649" s="105"/>
      <c r="G649" s="105"/>
    </row>
    <row r="650">
      <c r="A650" s="105"/>
      <c r="B650" s="105"/>
      <c r="C650" s="105"/>
      <c r="E650" s="105"/>
      <c r="G650" s="105"/>
    </row>
    <row r="651">
      <c r="A651" s="105"/>
      <c r="B651" s="105"/>
      <c r="C651" s="105"/>
      <c r="E651" s="105"/>
      <c r="G651" s="105"/>
    </row>
    <row r="652">
      <c r="A652" s="105"/>
      <c r="B652" s="105"/>
      <c r="C652" s="105"/>
      <c r="E652" s="105"/>
      <c r="G652" s="105"/>
    </row>
    <row r="653">
      <c r="A653" s="105"/>
      <c r="B653" s="105"/>
      <c r="C653" s="105"/>
      <c r="E653" s="105"/>
      <c r="G653" s="105"/>
    </row>
    <row r="654">
      <c r="A654" s="105"/>
      <c r="B654" s="105"/>
      <c r="C654" s="105"/>
      <c r="E654" s="105"/>
      <c r="G654" s="105"/>
    </row>
    <row r="655">
      <c r="A655" s="105"/>
      <c r="B655" s="105"/>
      <c r="C655" s="105"/>
      <c r="E655" s="105"/>
      <c r="G655" s="105"/>
    </row>
    <row r="656">
      <c r="A656" s="105"/>
      <c r="B656" s="105"/>
      <c r="C656" s="105"/>
      <c r="E656" s="105"/>
      <c r="G656" s="105"/>
    </row>
    <row r="657">
      <c r="A657" s="105"/>
      <c r="B657" s="105"/>
      <c r="C657" s="105"/>
      <c r="E657" s="105"/>
      <c r="G657" s="105"/>
    </row>
    <row r="658">
      <c r="A658" s="105"/>
      <c r="B658" s="105"/>
      <c r="C658" s="105"/>
      <c r="E658" s="105"/>
      <c r="G658" s="105"/>
    </row>
    <row r="659">
      <c r="A659" s="105"/>
      <c r="B659" s="105"/>
      <c r="C659" s="105"/>
      <c r="E659" s="105"/>
      <c r="G659" s="105"/>
    </row>
    <row r="660">
      <c r="A660" s="105"/>
      <c r="B660" s="105"/>
      <c r="C660" s="105"/>
      <c r="E660" s="105"/>
      <c r="G660" s="105"/>
    </row>
    <row r="661">
      <c r="A661" s="105"/>
      <c r="B661" s="105"/>
      <c r="C661" s="105"/>
      <c r="E661" s="105"/>
      <c r="G661" s="105"/>
    </row>
    <row r="662">
      <c r="A662" s="105"/>
      <c r="B662" s="105"/>
      <c r="C662" s="105"/>
      <c r="E662" s="105"/>
      <c r="G662" s="105"/>
    </row>
    <row r="663">
      <c r="A663" s="105"/>
      <c r="B663" s="105"/>
      <c r="C663" s="105"/>
      <c r="E663" s="105"/>
      <c r="G663" s="105"/>
    </row>
    <row r="664">
      <c r="A664" s="105"/>
      <c r="B664" s="105"/>
      <c r="C664" s="105"/>
      <c r="E664" s="105"/>
      <c r="G664" s="105"/>
    </row>
    <row r="665">
      <c r="A665" s="105"/>
      <c r="B665" s="105"/>
      <c r="C665" s="105"/>
      <c r="E665" s="105"/>
      <c r="G665" s="105"/>
    </row>
    <row r="666">
      <c r="A666" s="105"/>
      <c r="B666" s="105"/>
      <c r="C666" s="105"/>
      <c r="E666" s="105"/>
      <c r="G666" s="105"/>
    </row>
    <row r="667">
      <c r="A667" s="105"/>
      <c r="B667" s="105"/>
      <c r="C667" s="105"/>
      <c r="E667" s="105"/>
      <c r="G667" s="105"/>
    </row>
    <row r="668">
      <c r="A668" s="105"/>
      <c r="B668" s="105"/>
      <c r="C668" s="105"/>
      <c r="E668" s="105"/>
      <c r="G668" s="105"/>
    </row>
    <row r="669">
      <c r="A669" s="105"/>
      <c r="B669" s="105"/>
      <c r="C669" s="105"/>
      <c r="E669" s="105"/>
      <c r="G669" s="105"/>
    </row>
    <row r="670">
      <c r="A670" s="105"/>
      <c r="B670" s="105"/>
      <c r="C670" s="105"/>
      <c r="E670" s="105"/>
      <c r="G670" s="105"/>
    </row>
    <row r="671">
      <c r="A671" s="105"/>
      <c r="B671" s="105"/>
      <c r="C671" s="105"/>
      <c r="E671" s="105"/>
      <c r="G671" s="105"/>
    </row>
    <row r="672">
      <c r="A672" s="105"/>
      <c r="B672" s="105"/>
      <c r="C672" s="105"/>
      <c r="E672" s="105"/>
      <c r="G672" s="105"/>
    </row>
    <row r="673">
      <c r="A673" s="105"/>
      <c r="B673" s="105"/>
      <c r="C673" s="105"/>
      <c r="E673" s="105"/>
      <c r="G673" s="105"/>
    </row>
    <row r="674">
      <c r="A674" s="105"/>
      <c r="B674" s="105"/>
      <c r="C674" s="105"/>
      <c r="E674" s="105"/>
      <c r="G674" s="105"/>
    </row>
    <row r="675">
      <c r="A675" s="105"/>
      <c r="B675" s="105"/>
      <c r="C675" s="105"/>
      <c r="E675" s="105"/>
      <c r="G675" s="105"/>
    </row>
    <row r="676">
      <c r="A676" s="105"/>
      <c r="B676" s="105"/>
      <c r="C676" s="105"/>
      <c r="E676" s="105"/>
      <c r="G676" s="105"/>
    </row>
    <row r="677">
      <c r="A677" s="105"/>
      <c r="B677" s="105"/>
      <c r="C677" s="105"/>
      <c r="E677" s="105"/>
      <c r="G677" s="105"/>
    </row>
    <row r="678">
      <c r="A678" s="105"/>
      <c r="B678" s="105"/>
      <c r="C678" s="105"/>
      <c r="E678" s="105"/>
      <c r="G678" s="105"/>
    </row>
    <row r="679">
      <c r="A679" s="105"/>
      <c r="B679" s="105"/>
      <c r="C679" s="105"/>
      <c r="E679" s="105"/>
      <c r="G679" s="105"/>
    </row>
    <row r="680">
      <c r="A680" s="105"/>
      <c r="B680" s="105"/>
      <c r="C680" s="105"/>
      <c r="E680" s="105"/>
      <c r="G680" s="105"/>
    </row>
    <row r="681">
      <c r="A681" s="105"/>
      <c r="B681" s="105"/>
      <c r="C681" s="105"/>
      <c r="E681" s="105"/>
      <c r="G681" s="105"/>
    </row>
    <row r="682">
      <c r="A682" s="105"/>
      <c r="B682" s="105"/>
      <c r="C682" s="105"/>
      <c r="E682" s="105"/>
      <c r="G682" s="105"/>
    </row>
    <row r="683">
      <c r="A683" s="105"/>
      <c r="B683" s="105"/>
      <c r="C683" s="105"/>
      <c r="E683" s="105"/>
      <c r="G683" s="105"/>
    </row>
    <row r="684">
      <c r="A684" s="105"/>
      <c r="B684" s="105"/>
      <c r="C684" s="105"/>
      <c r="E684" s="105"/>
      <c r="G684" s="105"/>
    </row>
    <row r="685">
      <c r="A685" s="105"/>
      <c r="B685" s="105"/>
      <c r="C685" s="105"/>
      <c r="E685" s="105"/>
      <c r="G685" s="105"/>
    </row>
    <row r="686">
      <c r="A686" s="105"/>
      <c r="B686" s="105"/>
      <c r="C686" s="105"/>
      <c r="E686" s="105"/>
      <c r="G686" s="105"/>
    </row>
    <row r="687">
      <c r="A687" s="105"/>
      <c r="B687" s="105"/>
      <c r="C687" s="105"/>
      <c r="E687" s="105"/>
      <c r="G687" s="105"/>
    </row>
    <row r="688">
      <c r="A688" s="105"/>
      <c r="B688" s="105"/>
      <c r="C688" s="105"/>
      <c r="E688" s="105"/>
      <c r="G688" s="105"/>
    </row>
    <row r="689">
      <c r="A689" s="105"/>
      <c r="B689" s="105"/>
      <c r="C689" s="105"/>
      <c r="E689" s="105"/>
      <c r="G689" s="105"/>
    </row>
    <row r="690">
      <c r="A690" s="105"/>
      <c r="B690" s="105"/>
      <c r="C690" s="105"/>
      <c r="E690" s="105"/>
      <c r="G690" s="105"/>
    </row>
    <row r="691">
      <c r="A691" s="105"/>
      <c r="B691" s="105"/>
      <c r="C691" s="105"/>
      <c r="E691" s="105"/>
      <c r="G691" s="105"/>
    </row>
    <row r="692">
      <c r="A692" s="105"/>
      <c r="B692" s="105"/>
      <c r="C692" s="105"/>
      <c r="E692" s="105"/>
      <c r="G692" s="105"/>
    </row>
    <row r="693">
      <c r="A693" s="105"/>
      <c r="B693" s="105"/>
      <c r="C693" s="105"/>
      <c r="E693" s="105"/>
      <c r="G693" s="105"/>
    </row>
    <row r="694">
      <c r="A694" s="105"/>
      <c r="B694" s="105"/>
      <c r="C694" s="105"/>
      <c r="E694" s="105"/>
      <c r="G694" s="105"/>
    </row>
    <row r="695">
      <c r="A695" s="105"/>
      <c r="B695" s="105"/>
      <c r="C695" s="105"/>
      <c r="E695" s="105"/>
      <c r="G695" s="105"/>
    </row>
    <row r="696">
      <c r="A696" s="105"/>
      <c r="B696" s="105"/>
      <c r="C696" s="105"/>
      <c r="E696" s="105"/>
      <c r="G696" s="105"/>
    </row>
    <row r="697">
      <c r="A697" s="105"/>
      <c r="B697" s="105"/>
      <c r="C697" s="105"/>
      <c r="E697" s="105"/>
      <c r="G697" s="105"/>
    </row>
    <row r="698">
      <c r="A698" s="105"/>
      <c r="B698" s="105"/>
      <c r="C698" s="105"/>
      <c r="E698" s="105"/>
      <c r="G698" s="105"/>
    </row>
    <row r="699">
      <c r="A699" s="105"/>
      <c r="B699" s="105"/>
      <c r="C699" s="105"/>
      <c r="E699" s="105"/>
      <c r="G699" s="105"/>
    </row>
    <row r="700">
      <c r="A700" s="105"/>
      <c r="B700" s="105"/>
      <c r="C700" s="105"/>
      <c r="E700" s="105"/>
      <c r="G700" s="105"/>
    </row>
    <row r="701">
      <c r="A701" s="105"/>
      <c r="B701" s="105"/>
      <c r="C701" s="105"/>
      <c r="E701" s="105"/>
      <c r="G701" s="105"/>
    </row>
    <row r="702">
      <c r="A702" s="105"/>
      <c r="B702" s="105"/>
      <c r="C702" s="105"/>
      <c r="E702" s="105"/>
      <c r="G702" s="105"/>
    </row>
    <row r="703">
      <c r="A703" s="105"/>
      <c r="B703" s="105"/>
      <c r="C703" s="105"/>
      <c r="E703" s="105"/>
      <c r="G703" s="105"/>
    </row>
    <row r="704">
      <c r="A704" s="105"/>
      <c r="B704" s="105"/>
      <c r="C704" s="105"/>
      <c r="E704" s="105"/>
      <c r="G704" s="105"/>
    </row>
    <row r="705">
      <c r="A705" s="105"/>
      <c r="B705" s="105"/>
      <c r="C705" s="105"/>
      <c r="E705" s="105"/>
      <c r="G705" s="105"/>
    </row>
    <row r="706">
      <c r="A706" s="105"/>
      <c r="B706" s="105"/>
      <c r="C706" s="105"/>
      <c r="E706" s="105"/>
      <c r="G706" s="105"/>
    </row>
    <row r="707">
      <c r="A707" s="105"/>
      <c r="B707" s="105"/>
      <c r="C707" s="105"/>
      <c r="E707" s="105"/>
      <c r="G707" s="105"/>
    </row>
    <row r="708">
      <c r="A708" s="105"/>
      <c r="B708" s="105"/>
      <c r="C708" s="105"/>
      <c r="E708" s="105"/>
      <c r="G708" s="105"/>
    </row>
    <row r="709">
      <c r="A709" s="105"/>
      <c r="B709" s="105"/>
      <c r="C709" s="105"/>
      <c r="E709" s="105"/>
      <c r="G709" s="105"/>
    </row>
    <row r="710">
      <c r="A710" s="105"/>
      <c r="B710" s="105"/>
      <c r="C710" s="105"/>
      <c r="E710" s="105"/>
      <c r="G710" s="105"/>
    </row>
    <row r="711">
      <c r="A711" s="105"/>
      <c r="B711" s="105"/>
      <c r="C711" s="105"/>
      <c r="E711" s="105"/>
      <c r="G711" s="105"/>
    </row>
    <row r="712">
      <c r="A712" s="105"/>
      <c r="B712" s="105"/>
      <c r="C712" s="105"/>
      <c r="E712" s="105"/>
      <c r="G712" s="105"/>
    </row>
    <row r="713">
      <c r="A713" s="105"/>
      <c r="B713" s="105"/>
      <c r="C713" s="105"/>
      <c r="E713" s="105"/>
      <c r="G713" s="105"/>
    </row>
    <row r="714">
      <c r="A714" s="105"/>
      <c r="B714" s="105"/>
      <c r="C714" s="105"/>
      <c r="E714" s="105"/>
      <c r="G714" s="105"/>
    </row>
    <row r="715">
      <c r="A715" s="105"/>
      <c r="B715" s="105"/>
      <c r="C715" s="105"/>
      <c r="E715" s="105"/>
      <c r="G715" s="105"/>
    </row>
    <row r="716">
      <c r="A716" s="105"/>
      <c r="B716" s="105"/>
      <c r="C716" s="105"/>
      <c r="E716" s="105"/>
      <c r="G716" s="105"/>
    </row>
    <row r="717">
      <c r="A717" s="105"/>
      <c r="B717" s="105"/>
      <c r="C717" s="105"/>
      <c r="E717" s="105"/>
      <c r="G717" s="105"/>
    </row>
    <row r="718">
      <c r="A718" s="105"/>
      <c r="B718" s="105"/>
      <c r="C718" s="105"/>
      <c r="E718" s="105"/>
      <c r="G718" s="105"/>
    </row>
    <row r="719">
      <c r="A719" s="105"/>
      <c r="B719" s="105"/>
      <c r="C719" s="105"/>
      <c r="E719" s="105"/>
      <c r="G719" s="105"/>
    </row>
    <row r="720">
      <c r="A720" s="105"/>
      <c r="B720" s="105"/>
      <c r="C720" s="105"/>
      <c r="E720" s="105"/>
      <c r="G720" s="105"/>
    </row>
    <row r="721">
      <c r="A721" s="105"/>
      <c r="B721" s="105"/>
      <c r="C721" s="105"/>
      <c r="E721" s="105"/>
      <c r="G721" s="105"/>
    </row>
    <row r="722">
      <c r="A722" s="105"/>
      <c r="B722" s="105"/>
      <c r="C722" s="105"/>
      <c r="E722" s="105"/>
      <c r="G722" s="105"/>
    </row>
    <row r="723">
      <c r="A723" s="105"/>
      <c r="B723" s="105"/>
      <c r="C723" s="105"/>
      <c r="E723" s="105"/>
      <c r="G723" s="105"/>
    </row>
    <row r="724">
      <c r="A724" s="105"/>
      <c r="B724" s="105"/>
      <c r="C724" s="105"/>
      <c r="E724" s="105"/>
      <c r="G724" s="105"/>
    </row>
    <row r="725">
      <c r="A725" s="105"/>
      <c r="B725" s="105"/>
      <c r="C725" s="105"/>
      <c r="E725" s="105"/>
      <c r="G725" s="105"/>
    </row>
    <row r="726">
      <c r="A726" s="105"/>
      <c r="B726" s="105"/>
      <c r="C726" s="105"/>
      <c r="E726" s="105"/>
      <c r="G726" s="105"/>
    </row>
    <row r="727">
      <c r="A727" s="105"/>
      <c r="B727" s="105"/>
      <c r="C727" s="105"/>
      <c r="E727" s="105"/>
      <c r="G727" s="105"/>
    </row>
    <row r="728">
      <c r="A728" s="105"/>
      <c r="B728" s="105"/>
      <c r="C728" s="105"/>
      <c r="E728" s="105"/>
      <c r="G728" s="105"/>
    </row>
    <row r="729">
      <c r="A729" s="105"/>
      <c r="B729" s="105"/>
      <c r="C729" s="105"/>
      <c r="E729" s="105"/>
      <c r="G729" s="105"/>
    </row>
    <row r="730">
      <c r="A730" s="105"/>
      <c r="B730" s="105"/>
      <c r="C730" s="105"/>
      <c r="E730" s="105"/>
      <c r="G730" s="105"/>
    </row>
    <row r="731">
      <c r="A731" s="105"/>
      <c r="B731" s="105"/>
      <c r="C731" s="105"/>
      <c r="E731" s="105"/>
      <c r="G731" s="105"/>
    </row>
    <row r="732">
      <c r="A732" s="105"/>
      <c r="B732" s="105"/>
      <c r="C732" s="105"/>
      <c r="E732" s="105"/>
      <c r="G732" s="105"/>
    </row>
    <row r="733">
      <c r="A733" s="105"/>
      <c r="B733" s="105"/>
      <c r="C733" s="105"/>
      <c r="E733" s="105"/>
      <c r="G733" s="105"/>
    </row>
    <row r="734">
      <c r="A734" s="105"/>
      <c r="B734" s="105"/>
      <c r="C734" s="105"/>
      <c r="E734" s="105"/>
      <c r="G734" s="105"/>
    </row>
    <row r="735">
      <c r="A735" s="105"/>
      <c r="B735" s="105"/>
      <c r="C735" s="105"/>
      <c r="E735" s="105"/>
      <c r="G735" s="105"/>
    </row>
    <row r="736">
      <c r="A736" s="105"/>
      <c r="B736" s="105"/>
      <c r="C736" s="105"/>
      <c r="E736" s="105"/>
      <c r="G736" s="105"/>
    </row>
    <row r="737">
      <c r="A737" s="105"/>
      <c r="B737" s="105"/>
      <c r="C737" s="105"/>
      <c r="E737" s="105"/>
      <c r="G737" s="105"/>
    </row>
    <row r="738">
      <c r="A738" s="105"/>
      <c r="B738" s="105"/>
      <c r="C738" s="105"/>
      <c r="E738" s="105"/>
      <c r="G738" s="105"/>
    </row>
    <row r="739">
      <c r="A739" s="105"/>
      <c r="B739" s="105"/>
      <c r="C739" s="105"/>
      <c r="E739" s="105"/>
      <c r="G739" s="105"/>
    </row>
    <row r="740">
      <c r="A740" s="105"/>
      <c r="B740" s="105"/>
      <c r="C740" s="105"/>
      <c r="E740" s="105"/>
      <c r="G740" s="105"/>
    </row>
    <row r="741">
      <c r="A741" s="105"/>
      <c r="B741" s="105"/>
      <c r="C741" s="105"/>
      <c r="E741" s="105"/>
      <c r="G741" s="105"/>
    </row>
    <row r="742">
      <c r="A742" s="105"/>
      <c r="B742" s="105"/>
      <c r="C742" s="105"/>
      <c r="E742" s="105"/>
      <c r="G742" s="105"/>
    </row>
    <row r="743">
      <c r="A743" s="105"/>
      <c r="B743" s="105"/>
      <c r="C743" s="105"/>
      <c r="E743" s="105"/>
      <c r="G743" s="105"/>
    </row>
    <row r="744">
      <c r="A744" s="105"/>
      <c r="B744" s="105"/>
      <c r="C744" s="105"/>
      <c r="E744" s="105"/>
      <c r="G744" s="105"/>
    </row>
    <row r="745">
      <c r="A745" s="105"/>
      <c r="B745" s="105"/>
      <c r="C745" s="105"/>
      <c r="E745" s="105"/>
      <c r="G745" s="105"/>
    </row>
    <row r="746">
      <c r="A746" s="105"/>
      <c r="B746" s="105"/>
      <c r="C746" s="105"/>
      <c r="E746" s="105"/>
      <c r="G746" s="105"/>
    </row>
    <row r="747">
      <c r="A747" s="105"/>
      <c r="B747" s="105"/>
      <c r="C747" s="105"/>
      <c r="E747" s="105"/>
      <c r="G747" s="105"/>
    </row>
    <row r="748">
      <c r="A748" s="105"/>
      <c r="B748" s="105"/>
      <c r="C748" s="105"/>
      <c r="E748" s="105"/>
      <c r="G748" s="105"/>
    </row>
    <row r="749">
      <c r="A749" s="105"/>
      <c r="B749" s="105"/>
      <c r="C749" s="105"/>
      <c r="E749" s="105"/>
      <c r="G749" s="105"/>
    </row>
    <row r="750">
      <c r="A750" s="105"/>
      <c r="B750" s="105"/>
      <c r="C750" s="105"/>
      <c r="E750" s="105"/>
      <c r="G750" s="105"/>
    </row>
    <row r="751">
      <c r="A751" s="105"/>
      <c r="B751" s="105"/>
      <c r="C751" s="105"/>
      <c r="E751" s="105"/>
      <c r="G751" s="105"/>
    </row>
    <row r="752">
      <c r="A752" s="105"/>
      <c r="B752" s="105"/>
      <c r="C752" s="105"/>
      <c r="E752" s="105"/>
      <c r="G752" s="105"/>
    </row>
    <row r="753">
      <c r="A753" s="105"/>
      <c r="B753" s="105"/>
      <c r="C753" s="105"/>
      <c r="E753" s="105"/>
      <c r="G753" s="105"/>
    </row>
    <row r="754">
      <c r="A754" s="105"/>
      <c r="B754" s="105"/>
      <c r="C754" s="105"/>
      <c r="E754" s="105"/>
      <c r="G754" s="105"/>
    </row>
    <row r="755">
      <c r="A755" s="105"/>
      <c r="B755" s="105"/>
      <c r="C755" s="105"/>
      <c r="E755" s="105"/>
      <c r="G755" s="105"/>
    </row>
    <row r="756">
      <c r="A756" s="105"/>
      <c r="B756" s="105"/>
      <c r="C756" s="105"/>
      <c r="E756" s="105"/>
      <c r="G756" s="105"/>
    </row>
    <row r="757">
      <c r="A757" s="105"/>
      <c r="B757" s="105"/>
      <c r="C757" s="105"/>
      <c r="E757" s="105"/>
      <c r="G757" s="105"/>
    </row>
    <row r="758">
      <c r="A758" s="105"/>
      <c r="B758" s="105"/>
      <c r="C758" s="105"/>
      <c r="E758" s="105"/>
      <c r="G758" s="105"/>
    </row>
    <row r="759">
      <c r="A759" s="105"/>
      <c r="B759" s="105"/>
      <c r="C759" s="105"/>
      <c r="E759" s="105"/>
      <c r="G759" s="105"/>
    </row>
    <row r="760">
      <c r="A760" s="105"/>
      <c r="B760" s="105"/>
      <c r="C760" s="105"/>
      <c r="E760" s="105"/>
      <c r="G760" s="105"/>
    </row>
    <row r="761">
      <c r="A761" s="105"/>
      <c r="B761" s="105"/>
      <c r="C761" s="105"/>
      <c r="E761" s="105"/>
      <c r="G761" s="105"/>
    </row>
    <row r="762">
      <c r="A762" s="105"/>
      <c r="B762" s="105"/>
      <c r="C762" s="105"/>
      <c r="E762" s="105"/>
      <c r="G762" s="105"/>
    </row>
    <row r="763">
      <c r="A763" s="105"/>
      <c r="B763" s="105"/>
      <c r="C763" s="105"/>
      <c r="E763" s="105"/>
      <c r="G763" s="105"/>
    </row>
    <row r="764">
      <c r="A764" s="105"/>
      <c r="B764" s="105"/>
      <c r="C764" s="105"/>
      <c r="E764" s="105"/>
      <c r="G764" s="105"/>
    </row>
    <row r="765">
      <c r="A765" s="105"/>
      <c r="B765" s="105"/>
      <c r="C765" s="105"/>
      <c r="E765" s="105"/>
      <c r="G765" s="105"/>
    </row>
    <row r="766">
      <c r="A766" s="105"/>
      <c r="B766" s="105"/>
      <c r="C766" s="105"/>
      <c r="E766" s="105"/>
      <c r="G766" s="105"/>
    </row>
    <row r="767">
      <c r="A767" s="105"/>
      <c r="B767" s="105"/>
      <c r="C767" s="105"/>
      <c r="E767" s="105"/>
      <c r="G767" s="105"/>
    </row>
    <row r="768">
      <c r="A768" s="105"/>
      <c r="B768" s="105"/>
      <c r="C768" s="105"/>
      <c r="E768" s="105"/>
      <c r="G768" s="105"/>
    </row>
    <row r="769">
      <c r="A769" s="105"/>
      <c r="B769" s="105"/>
      <c r="C769" s="105"/>
      <c r="E769" s="105"/>
      <c r="G769" s="105"/>
    </row>
    <row r="770">
      <c r="A770" s="105"/>
      <c r="B770" s="105"/>
      <c r="C770" s="105"/>
      <c r="E770" s="105"/>
      <c r="G770" s="105"/>
    </row>
    <row r="771">
      <c r="A771" s="105"/>
      <c r="B771" s="105"/>
      <c r="C771" s="105"/>
      <c r="E771" s="105"/>
      <c r="G771" s="105"/>
    </row>
    <row r="772">
      <c r="A772" s="105"/>
      <c r="B772" s="105"/>
      <c r="C772" s="105"/>
      <c r="E772" s="105"/>
      <c r="G772" s="105"/>
    </row>
    <row r="773">
      <c r="A773" s="105"/>
      <c r="B773" s="105"/>
      <c r="C773" s="105"/>
      <c r="E773" s="105"/>
      <c r="G773" s="105"/>
    </row>
    <row r="774">
      <c r="A774" s="105"/>
      <c r="B774" s="105"/>
      <c r="C774" s="105"/>
      <c r="E774" s="105"/>
      <c r="G774" s="105"/>
    </row>
    <row r="775">
      <c r="A775" s="105"/>
      <c r="B775" s="105"/>
      <c r="C775" s="105"/>
      <c r="E775" s="105"/>
      <c r="G775" s="105"/>
    </row>
    <row r="776">
      <c r="A776" s="105"/>
      <c r="B776" s="105"/>
      <c r="C776" s="105"/>
      <c r="E776" s="105"/>
      <c r="G776" s="105"/>
    </row>
    <row r="777">
      <c r="A777" s="105"/>
      <c r="B777" s="105"/>
      <c r="C777" s="105"/>
      <c r="E777" s="105"/>
      <c r="G777" s="105"/>
    </row>
    <row r="778">
      <c r="A778" s="105"/>
      <c r="B778" s="105"/>
      <c r="C778" s="105"/>
      <c r="E778" s="105"/>
      <c r="G778" s="105"/>
    </row>
    <row r="779">
      <c r="A779" s="105"/>
      <c r="B779" s="105"/>
      <c r="C779" s="105"/>
      <c r="E779" s="105"/>
      <c r="G779" s="105"/>
    </row>
    <row r="780">
      <c r="A780" s="105"/>
      <c r="B780" s="105"/>
      <c r="C780" s="105"/>
      <c r="E780" s="105"/>
      <c r="G780" s="105"/>
    </row>
    <row r="781">
      <c r="A781" s="105"/>
      <c r="B781" s="105"/>
      <c r="C781" s="105"/>
      <c r="E781" s="105"/>
      <c r="G781" s="105"/>
    </row>
    <row r="782">
      <c r="A782" s="105"/>
      <c r="B782" s="105"/>
      <c r="C782" s="105"/>
      <c r="E782" s="105"/>
      <c r="G782" s="105"/>
    </row>
    <row r="783">
      <c r="A783" s="105"/>
      <c r="B783" s="105"/>
      <c r="C783" s="105"/>
      <c r="E783" s="105"/>
      <c r="G783" s="105"/>
    </row>
    <row r="784">
      <c r="A784" s="105"/>
      <c r="B784" s="105"/>
      <c r="C784" s="105"/>
      <c r="E784" s="105"/>
      <c r="G784" s="105"/>
    </row>
    <row r="785">
      <c r="A785" s="105"/>
      <c r="B785" s="105"/>
      <c r="C785" s="105"/>
      <c r="E785" s="105"/>
      <c r="G785" s="105"/>
    </row>
    <row r="786">
      <c r="A786" s="105"/>
      <c r="B786" s="105"/>
      <c r="C786" s="105"/>
      <c r="E786" s="105"/>
      <c r="G786" s="105"/>
    </row>
    <row r="787">
      <c r="A787" s="105"/>
      <c r="B787" s="105"/>
      <c r="C787" s="105"/>
      <c r="E787" s="105"/>
      <c r="G787" s="105"/>
    </row>
    <row r="788">
      <c r="A788" s="105"/>
      <c r="B788" s="105"/>
      <c r="C788" s="105"/>
      <c r="E788" s="105"/>
      <c r="G788" s="105"/>
    </row>
    <row r="789">
      <c r="A789" s="105"/>
      <c r="B789" s="105"/>
      <c r="C789" s="105"/>
      <c r="E789" s="105"/>
      <c r="G789" s="105"/>
    </row>
    <row r="790">
      <c r="A790" s="105"/>
      <c r="B790" s="105"/>
      <c r="C790" s="105"/>
      <c r="E790" s="105"/>
      <c r="G790" s="105"/>
    </row>
    <row r="791">
      <c r="A791" s="105"/>
      <c r="B791" s="105"/>
      <c r="C791" s="105"/>
      <c r="E791" s="105"/>
      <c r="G791" s="105"/>
    </row>
    <row r="792">
      <c r="A792" s="105"/>
      <c r="B792" s="105"/>
      <c r="C792" s="105"/>
      <c r="E792" s="105"/>
      <c r="G792" s="105"/>
    </row>
    <row r="793">
      <c r="A793" s="105"/>
      <c r="B793" s="105"/>
      <c r="C793" s="105"/>
      <c r="E793" s="105"/>
      <c r="G793" s="105"/>
    </row>
    <row r="794">
      <c r="A794" s="105"/>
      <c r="B794" s="105"/>
      <c r="C794" s="105"/>
      <c r="E794" s="105"/>
      <c r="G794" s="105"/>
    </row>
    <row r="795">
      <c r="A795" s="105"/>
      <c r="B795" s="105"/>
      <c r="C795" s="105"/>
      <c r="E795" s="105"/>
      <c r="G795" s="105"/>
    </row>
    <row r="796">
      <c r="A796" s="105"/>
      <c r="B796" s="105"/>
      <c r="C796" s="105"/>
      <c r="E796" s="105"/>
      <c r="G796" s="105"/>
    </row>
    <row r="797">
      <c r="A797" s="105"/>
      <c r="B797" s="105"/>
      <c r="C797" s="105"/>
      <c r="E797" s="105"/>
      <c r="G797" s="105"/>
    </row>
    <row r="798">
      <c r="A798" s="105"/>
      <c r="B798" s="105"/>
      <c r="C798" s="105"/>
      <c r="E798" s="105"/>
      <c r="G798" s="105"/>
    </row>
    <row r="799">
      <c r="A799" s="105"/>
      <c r="B799" s="105"/>
      <c r="C799" s="105"/>
      <c r="E799" s="105"/>
      <c r="G799" s="105"/>
    </row>
    <row r="800">
      <c r="A800" s="105"/>
      <c r="B800" s="105"/>
      <c r="C800" s="105"/>
      <c r="E800" s="105"/>
      <c r="G800" s="105"/>
    </row>
    <row r="801">
      <c r="A801" s="105"/>
      <c r="B801" s="105"/>
      <c r="C801" s="105"/>
      <c r="E801" s="105"/>
      <c r="G801" s="105"/>
    </row>
    <row r="802">
      <c r="A802" s="105"/>
      <c r="B802" s="105"/>
      <c r="C802" s="105"/>
      <c r="E802" s="105"/>
      <c r="G802" s="105"/>
    </row>
    <row r="803">
      <c r="A803" s="105"/>
      <c r="B803" s="105"/>
      <c r="C803" s="105"/>
      <c r="E803" s="105"/>
      <c r="G803" s="105"/>
    </row>
    <row r="804">
      <c r="A804" s="105"/>
      <c r="B804" s="105"/>
      <c r="C804" s="105"/>
      <c r="E804" s="105"/>
      <c r="G804" s="105"/>
    </row>
    <row r="805">
      <c r="A805" s="105"/>
      <c r="B805" s="105"/>
      <c r="C805" s="105"/>
      <c r="E805" s="105"/>
      <c r="G805" s="105"/>
    </row>
    <row r="806">
      <c r="A806" s="105"/>
      <c r="B806" s="105"/>
      <c r="C806" s="105"/>
      <c r="E806" s="105"/>
      <c r="G806" s="105"/>
    </row>
    <row r="807">
      <c r="A807" s="105"/>
      <c r="B807" s="105"/>
      <c r="C807" s="105"/>
      <c r="E807" s="105"/>
      <c r="G807" s="105"/>
    </row>
    <row r="808">
      <c r="A808" s="105"/>
      <c r="B808" s="105"/>
      <c r="C808" s="105"/>
      <c r="E808" s="105"/>
      <c r="G808" s="105"/>
    </row>
    <row r="809">
      <c r="A809" s="105"/>
      <c r="B809" s="105"/>
      <c r="C809" s="105"/>
      <c r="E809" s="105"/>
      <c r="G809" s="105"/>
    </row>
    <row r="810">
      <c r="A810" s="105"/>
      <c r="B810" s="105"/>
      <c r="C810" s="105"/>
      <c r="E810" s="105"/>
      <c r="G810" s="105"/>
    </row>
    <row r="811">
      <c r="A811" s="105"/>
      <c r="B811" s="105"/>
      <c r="C811" s="105"/>
      <c r="E811" s="105"/>
      <c r="G811" s="105"/>
    </row>
    <row r="812">
      <c r="A812" s="105"/>
      <c r="B812" s="105"/>
      <c r="C812" s="105"/>
      <c r="E812" s="105"/>
      <c r="G812" s="105"/>
    </row>
    <row r="813">
      <c r="A813" s="105"/>
      <c r="B813" s="105"/>
      <c r="C813" s="105"/>
      <c r="E813" s="105"/>
      <c r="G813" s="105"/>
    </row>
    <row r="814">
      <c r="A814" s="105"/>
      <c r="B814" s="105"/>
      <c r="C814" s="105"/>
      <c r="E814" s="105"/>
      <c r="G814" s="105"/>
    </row>
    <row r="815">
      <c r="A815" s="105"/>
      <c r="B815" s="105"/>
      <c r="C815" s="105"/>
      <c r="E815" s="105"/>
      <c r="G815" s="105"/>
    </row>
    <row r="816">
      <c r="A816" s="105"/>
      <c r="B816" s="105"/>
      <c r="C816" s="105"/>
      <c r="E816" s="105"/>
      <c r="G816" s="105"/>
    </row>
    <row r="817">
      <c r="A817" s="105"/>
      <c r="B817" s="105"/>
      <c r="C817" s="105"/>
      <c r="E817" s="105"/>
      <c r="G817" s="105"/>
    </row>
    <row r="818">
      <c r="A818" s="105"/>
      <c r="B818" s="105"/>
      <c r="C818" s="105"/>
      <c r="E818" s="105"/>
      <c r="G818" s="105"/>
    </row>
    <row r="819">
      <c r="A819" s="105"/>
      <c r="B819" s="105"/>
      <c r="C819" s="105"/>
      <c r="E819" s="105"/>
      <c r="G819" s="105"/>
    </row>
    <row r="820">
      <c r="A820" s="105"/>
      <c r="B820" s="105"/>
      <c r="C820" s="105"/>
      <c r="E820" s="105"/>
      <c r="G820" s="105"/>
    </row>
    <row r="821">
      <c r="A821" s="105"/>
      <c r="B821" s="105"/>
      <c r="C821" s="105"/>
      <c r="E821" s="105"/>
      <c r="G821" s="105"/>
    </row>
    <row r="822">
      <c r="A822" s="105"/>
      <c r="B822" s="105"/>
      <c r="C822" s="105"/>
      <c r="E822" s="105"/>
      <c r="G822" s="105"/>
    </row>
    <row r="823">
      <c r="A823" s="105"/>
      <c r="B823" s="105"/>
      <c r="C823" s="105"/>
      <c r="E823" s="105"/>
      <c r="G823" s="105"/>
    </row>
    <row r="824">
      <c r="A824" s="105"/>
      <c r="B824" s="105"/>
      <c r="C824" s="105"/>
      <c r="E824" s="105"/>
      <c r="G824" s="105"/>
    </row>
    <row r="825">
      <c r="A825" s="105"/>
      <c r="B825" s="105"/>
      <c r="C825" s="105"/>
      <c r="E825" s="105"/>
      <c r="G825" s="105"/>
    </row>
    <row r="826">
      <c r="A826" s="105"/>
      <c r="B826" s="105"/>
      <c r="C826" s="105"/>
      <c r="E826" s="105"/>
      <c r="G826" s="105"/>
    </row>
    <row r="827">
      <c r="A827" s="105"/>
      <c r="B827" s="105"/>
      <c r="C827" s="105"/>
      <c r="E827" s="105"/>
      <c r="G827" s="105"/>
    </row>
    <row r="828">
      <c r="A828" s="105"/>
      <c r="B828" s="105"/>
      <c r="C828" s="105"/>
      <c r="E828" s="105"/>
      <c r="G828" s="105"/>
    </row>
    <row r="829">
      <c r="A829" s="105"/>
      <c r="B829" s="105"/>
      <c r="C829" s="105"/>
      <c r="E829" s="105"/>
      <c r="G829" s="105"/>
    </row>
    <row r="830">
      <c r="A830" s="105"/>
      <c r="B830" s="105"/>
      <c r="C830" s="105"/>
      <c r="E830" s="105"/>
      <c r="G830" s="105"/>
    </row>
    <row r="831">
      <c r="A831" s="105"/>
      <c r="B831" s="105"/>
      <c r="C831" s="105"/>
      <c r="E831" s="105"/>
      <c r="G831" s="105"/>
    </row>
    <row r="832">
      <c r="A832" s="105"/>
      <c r="B832" s="105"/>
      <c r="C832" s="105"/>
      <c r="E832" s="105"/>
      <c r="G832" s="105"/>
    </row>
    <row r="833">
      <c r="A833" s="105"/>
      <c r="B833" s="105"/>
      <c r="C833" s="105"/>
      <c r="E833" s="105"/>
      <c r="G833" s="105"/>
    </row>
    <row r="834">
      <c r="A834" s="105"/>
      <c r="B834" s="105"/>
      <c r="C834" s="105"/>
      <c r="E834" s="105"/>
      <c r="G834" s="105"/>
    </row>
    <row r="835">
      <c r="A835" s="105"/>
      <c r="B835" s="105"/>
      <c r="C835" s="105"/>
      <c r="E835" s="105"/>
      <c r="G835" s="105"/>
    </row>
    <row r="836">
      <c r="A836" s="105"/>
      <c r="B836" s="105"/>
      <c r="C836" s="105"/>
      <c r="E836" s="105"/>
      <c r="G836" s="105"/>
    </row>
    <row r="837">
      <c r="A837" s="105"/>
      <c r="B837" s="105"/>
      <c r="C837" s="105"/>
      <c r="E837" s="105"/>
      <c r="G837" s="105"/>
    </row>
    <row r="838">
      <c r="A838" s="105"/>
      <c r="B838" s="105"/>
      <c r="C838" s="105"/>
      <c r="E838" s="105"/>
      <c r="G838" s="105"/>
    </row>
    <row r="839">
      <c r="A839" s="105"/>
      <c r="B839" s="105"/>
      <c r="C839" s="105"/>
      <c r="E839" s="105"/>
      <c r="G839" s="105"/>
    </row>
    <row r="840">
      <c r="A840" s="105"/>
      <c r="B840" s="105"/>
      <c r="C840" s="105"/>
      <c r="E840" s="105"/>
      <c r="G840" s="105"/>
    </row>
    <row r="841">
      <c r="A841" s="105"/>
      <c r="B841" s="105"/>
      <c r="C841" s="105"/>
      <c r="E841" s="105"/>
      <c r="G841" s="105"/>
    </row>
    <row r="842">
      <c r="A842" s="105"/>
      <c r="B842" s="105"/>
      <c r="C842" s="105"/>
      <c r="E842" s="105"/>
      <c r="G842" s="105"/>
    </row>
    <row r="843">
      <c r="A843" s="105"/>
      <c r="B843" s="105"/>
      <c r="C843" s="105"/>
      <c r="E843" s="105"/>
      <c r="G843" s="105"/>
    </row>
    <row r="844">
      <c r="A844" s="105"/>
      <c r="B844" s="105"/>
      <c r="C844" s="105"/>
      <c r="E844" s="105"/>
      <c r="G844" s="105"/>
    </row>
    <row r="845">
      <c r="A845" s="105"/>
      <c r="B845" s="105"/>
      <c r="C845" s="105"/>
      <c r="E845" s="105"/>
      <c r="G845" s="105"/>
    </row>
    <row r="846">
      <c r="A846" s="105"/>
      <c r="B846" s="105"/>
      <c r="C846" s="105"/>
      <c r="E846" s="105"/>
      <c r="G846" s="105"/>
    </row>
    <row r="847">
      <c r="A847" s="105"/>
      <c r="B847" s="105"/>
      <c r="C847" s="105"/>
      <c r="E847" s="105"/>
      <c r="G847" s="105"/>
    </row>
    <row r="848">
      <c r="A848" s="105"/>
      <c r="B848" s="105"/>
      <c r="C848" s="105"/>
      <c r="E848" s="105"/>
      <c r="G848" s="105"/>
    </row>
    <row r="849">
      <c r="A849" s="105"/>
      <c r="B849" s="105"/>
      <c r="C849" s="105"/>
      <c r="E849" s="105"/>
      <c r="G849" s="105"/>
    </row>
    <row r="850">
      <c r="A850" s="105"/>
      <c r="B850" s="105"/>
      <c r="C850" s="105"/>
      <c r="E850" s="105"/>
      <c r="G850" s="105"/>
    </row>
    <row r="851">
      <c r="A851" s="105"/>
      <c r="B851" s="105"/>
      <c r="C851" s="105"/>
      <c r="E851" s="105"/>
      <c r="G851" s="105"/>
    </row>
    <row r="852">
      <c r="A852" s="105"/>
      <c r="B852" s="105"/>
      <c r="C852" s="105"/>
      <c r="E852" s="105"/>
      <c r="G852" s="105"/>
    </row>
    <row r="853">
      <c r="A853" s="105"/>
      <c r="B853" s="105"/>
      <c r="C853" s="105"/>
      <c r="E853" s="105"/>
      <c r="G853" s="105"/>
    </row>
    <row r="854">
      <c r="A854" s="105"/>
      <c r="B854" s="105"/>
      <c r="C854" s="105"/>
      <c r="E854" s="105"/>
      <c r="G854" s="105"/>
    </row>
    <row r="855">
      <c r="A855" s="105"/>
      <c r="B855" s="105"/>
      <c r="C855" s="105"/>
      <c r="E855" s="105"/>
      <c r="G855" s="105"/>
    </row>
    <row r="856">
      <c r="A856" s="105"/>
      <c r="B856" s="105"/>
      <c r="C856" s="105"/>
      <c r="E856" s="105"/>
      <c r="G856" s="105"/>
    </row>
    <row r="857">
      <c r="A857" s="105"/>
      <c r="B857" s="105"/>
      <c r="C857" s="105"/>
      <c r="E857" s="105"/>
      <c r="G857" s="105"/>
    </row>
    <row r="858">
      <c r="A858" s="105"/>
      <c r="B858" s="105"/>
      <c r="C858" s="105"/>
      <c r="E858" s="105"/>
      <c r="G858" s="105"/>
    </row>
    <row r="859">
      <c r="A859" s="105"/>
      <c r="B859" s="105"/>
      <c r="C859" s="105"/>
      <c r="E859" s="105"/>
      <c r="G859" s="105"/>
    </row>
    <row r="860">
      <c r="A860" s="105"/>
      <c r="B860" s="105"/>
      <c r="C860" s="105"/>
      <c r="E860" s="105"/>
      <c r="G860" s="105"/>
    </row>
    <row r="861">
      <c r="A861" s="105"/>
      <c r="B861" s="105"/>
      <c r="C861" s="105"/>
      <c r="E861" s="105"/>
      <c r="G861" s="105"/>
    </row>
    <row r="862">
      <c r="A862" s="105"/>
      <c r="B862" s="105"/>
      <c r="C862" s="105"/>
      <c r="E862" s="105"/>
      <c r="G862" s="105"/>
    </row>
    <row r="863">
      <c r="A863" s="105"/>
      <c r="B863" s="105"/>
      <c r="C863" s="105"/>
      <c r="E863" s="105"/>
      <c r="G863" s="105"/>
    </row>
    <row r="864">
      <c r="A864" s="105"/>
      <c r="B864" s="105"/>
      <c r="C864" s="105"/>
      <c r="E864" s="105"/>
      <c r="G864" s="105"/>
    </row>
    <row r="865">
      <c r="A865" s="105"/>
      <c r="B865" s="105"/>
      <c r="C865" s="105"/>
      <c r="E865" s="105"/>
      <c r="G865" s="105"/>
    </row>
    <row r="866">
      <c r="A866" s="105"/>
      <c r="B866" s="105"/>
      <c r="C866" s="105"/>
      <c r="E866" s="105"/>
      <c r="G866" s="105"/>
    </row>
    <row r="867">
      <c r="A867" s="105"/>
      <c r="B867" s="105"/>
      <c r="C867" s="105"/>
      <c r="E867" s="105"/>
      <c r="G867" s="105"/>
    </row>
    <row r="868">
      <c r="A868" s="105"/>
      <c r="B868" s="105"/>
      <c r="C868" s="105"/>
      <c r="E868" s="105"/>
      <c r="G868" s="105"/>
    </row>
    <row r="869">
      <c r="A869" s="105"/>
      <c r="B869" s="105"/>
      <c r="C869" s="105"/>
      <c r="E869" s="105"/>
      <c r="G869" s="105"/>
    </row>
    <row r="870">
      <c r="A870" s="105"/>
      <c r="B870" s="105"/>
      <c r="C870" s="105"/>
      <c r="E870" s="105"/>
      <c r="G870" s="105"/>
    </row>
    <row r="871">
      <c r="A871" s="105"/>
      <c r="B871" s="105"/>
      <c r="C871" s="105"/>
      <c r="E871" s="105"/>
      <c r="G871" s="105"/>
    </row>
    <row r="872">
      <c r="A872" s="105"/>
      <c r="B872" s="105"/>
      <c r="C872" s="105"/>
      <c r="E872" s="105"/>
      <c r="G872" s="105"/>
    </row>
    <row r="873">
      <c r="A873" s="105"/>
      <c r="B873" s="105"/>
      <c r="C873" s="105"/>
      <c r="E873" s="105"/>
      <c r="G873" s="105"/>
    </row>
    <row r="874">
      <c r="A874" s="105"/>
      <c r="B874" s="105"/>
      <c r="C874" s="105"/>
      <c r="E874" s="105"/>
      <c r="G874" s="105"/>
    </row>
    <row r="875">
      <c r="A875" s="105"/>
      <c r="B875" s="105"/>
      <c r="C875" s="105"/>
      <c r="E875" s="105"/>
      <c r="G875" s="105"/>
    </row>
    <row r="876">
      <c r="A876" s="105"/>
      <c r="B876" s="105"/>
      <c r="C876" s="105"/>
      <c r="E876" s="105"/>
      <c r="G876" s="105"/>
    </row>
    <row r="877">
      <c r="A877" s="105"/>
      <c r="B877" s="105"/>
      <c r="C877" s="105"/>
      <c r="E877" s="105"/>
      <c r="G877" s="105"/>
    </row>
    <row r="878">
      <c r="A878" s="105"/>
      <c r="B878" s="105"/>
      <c r="C878" s="105"/>
      <c r="E878" s="105"/>
      <c r="G878" s="105"/>
    </row>
    <row r="879">
      <c r="A879" s="105"/>
      <c r="B879" s="105"/>
      <c r="C879" s="105"/>
      <c r="E879" s="105"/>
      <c r="G879" s="105"/>
    </row>
    <row r="880">
      <c r="A880" s="105"/>
      <c r="B880" s="105"/>
      <c r="C880" s="105"/>
      <c r="E880" s="105"/>
      <c r="G880" s="105"/>
    </row>
    <row r="881">
      <c r="A881" s="105"/>
      <c r="B881" s="105"/>
      <c r="C881" s="105"/>
      <c r="E881" s="105"/>
      <c r="G881" s="105"/>
    </row>
    <row r="882">
      <c r="A882" s="105"/>
      <c r="B882" s="105"/>
      <c r="C882" s="105"/>
      <c r="E882" s="105"/>
      <c r="G882" s="105"/>
    </row>
    <row r="883">
      <c r="A883" s="105"/>
      <c r="B883" s="105"/>
      <c r="C883" s="105"/>
      <c r="E883" s="105"/>
      <c r="G883" s="105"/>
    </row>
    <row r="884">
      <c r="A884" s="105"/>
      <c r="B884" s="105"/>
      <c r="C884" s="105"/>
      <c r="E884" s="105"/>
      <c r="G884" s="105"/>
    </row>
    <row r="885">
      <c r="A885" s="105"/>
      <c r="B885" s="105"/>
      <c r="C885" s="105"/>
      <c r="E885" s="105"/>
      <c r="G885" s="105"/>
    </row>
    <row r="886">
      <c r="A886" s="105"/>
      <c r="B886" s="105"/>
      <c r="C886" s="105"/>
      <c r="E886" s="105"/>
      <c r="G886" s="105"/>
    </row>
    <row r="887">
      <c r="A887" s="105"/>
      <c r="B887" s="105"/>
      <c r="C887" s="105"/>
      <c r="E887" s="105"/>
      <c r="G887" s="105"/>
    </row>
    <row r="888">
      <c r="A888" s="105"/>
      <c r="B888" s="105"/>
      <c r="C888" s="105"/>
      <c r="E888" s="105"/>
      <c r="G888" s="105"/>
    </row>
    <row r="889">
      <c r="A889" s="105"/>
      <c r="B889" s="105"/>
      <c r="C889" s="105"/>
      <c r="E889" s="105"/>
      <c r="G889" s="105"/>
    </row>
    <row r="890">
      <c r="A890" s="105"/>
      <c r="B890" s="105"/>
      <c r="C890" s="105"/>
      <c r="E890" s="105"/>
      <c r="G890" s="105"/>
    </row>
    <row r="891">
      <c r="A891" s="105"/>
      <c r="B891" s="105"/>
      <c r="C891" s="105"/>
      <c r="E891" s="105"/>
      <c r="G891" s="105"/>
    </row>
    <row r="892">
      <c r="A892" s="105"/>
      <c r="B892" s="105"/>
      <c r="C892" s="105"/>
      <c r="E892" s="105"/>
      <c r="G892" s="105"/>
    </row>
    <row r="893">
      <c r="A893" s="105"/>
      <c r="B893" s="105"/>
      <c r="C893" s="105"/>
      <c r="E893" s="105"/>
      <c r="G893" s="105"/>
    </row>
    <row r="894">
      <c r="A894" s="105"/>
      <c r="B894" s="105"/>
      <c r="C894" s="105"/>
      <c r="E894" s="105"/>
      <c r="G894" s="105"/>
    </row>
    <row r="895">
      <c r="A895" s="105"/>
      <c r="B895" s="105"/>
      <c r="C895" s="105"/>
      <c r="E895" s="105"/>
      <c r="G895" s="105"/>
    </row>
    <row r="896">
      <c r="A896" s="105"/>
      <c r="B896" s="105"/>
      <c r="C896" s="105"/>
      <c r="E896" s="105"/>
      <c r="G896" s="105"/>
    </row>
    <row r="897">
      <c r="A897" s="105"/>
      <c r="B897" s="105"/>
      <c r="C897" s="105"/>
      <c r="E897" s="105"/>
      <c r="G897" s="105"/>
    </row>
    <row r="898">
      <c r="A898" s="105"/>
      <c r="B898" s="105"/>
      <c r="C898" s="105"/>
      <c r="E898" s="105"/>
      <c r="G898" s="105"/>
    </row>
    <row r="899">
      <c r="A899" s="105"/>
      <c r="B899" s="105"/>
      <c r="C899" s="105"/>
      <c r="E899" s="105"/>
      <c r="G899" s="105"/>
    </row>
    <row r="900">
      <c r="A900" s="105"/>
      <c r="B900" s="105"/>
      <c r="C900" s="105"/>
      <c r="E900" s="105"/>
      <c r="G900" s="105"/>
    </row>
    <row r="901">
      <c r="A901" s="105"/>
      <c r="B901" s="105"/>
      <c r="C901" s="105"/>
      <c r="E901" s="105"/>
      <c r="G901" s="105"/>
    </row>
    <row r="902">
      <c r="A902" s="105"/>
      <c r="B902" s="105"/>
      <c r="C902" s="105"/>
      <c r="E902" s="105"/>
      <c r="G902" s="105"/>
    </row>
    <row r="903">
      <c r="A903" s="105"/>
      <c r="B903" s="105"/>
      <c r="C903" s="105"/>
      <c r="E903" s="105"/>
      <c r="G903" s="105"/>
    </row>
    <row r="904">
      <c r="A904" s="105"/>
      <c r="B904" s="105"/>
      <c r="C904" s="105"/>
      <c r="E904" s="105"/>
      <c r="G904" s="105"/>
    </row>
    <row r="905">
      <c r="A905" s="105"/>
      <c r="B905" s="105"/>
      <c r="C905" s="105"/>
      <c r="E905" s="105"/>
      <c r="G905" s="105"/>
    </row>
    <row r="906">
      <c r="A906" s="105"/>
      <c r="B906" s="105"/>
      <c r="C906" s="105"/>
      <c r="E906" s="105"/>
      <c r="G906" s="105"/>
    </row>
    <row r="907">
      <c r="A907" s="105"/>
      <c r="B907" s="105"/>
      <c r="C907" s="105"/>
      <c r="E907" s="105"/>
      <c r="G907" s="105"/>
    </row>
    <row r="908">
      <c r="A908" s="105"/>
      <c r="B908" s="105"/>
      <c r="C908" s="105"/>
      <c r="E908" s="105"/>
      <c r="G908" s="105"/>
    </row>
    <row r="909">
      <c r="A909" s="105"/>
      <c r="B909" s="105"/>
      <c r="C909" s="105"/>
      <c r="E909" s="105"/>
      <c r="G909" s="105"/>
    </row>
    <row r="910">
      <c r="A910" s="105"/>
      <c r="B910" s="105"/>
      <c r="C910" s="105"/>
      <c r="E910" s="105"/>
      <c r="G910" s="105"/>
    </row>
    <row r="911">
      <c r="A911" s="105"/>
      <c r="B911" s="105"/>
      <c r="C911" s="105"/>
      <c r="E911" s="105"/>
      <c r="G911" s="105"/>
    </row>
    <row r="912">
      <c r="A912" s="105"/>
      <c r="B912" s="105"/>
      <c r="C912" s="105"/>
      <c r="E912" s="105"/>
      <c r="G912" s="105"/>
    </row>
    <row r="913">
      <c r="A913" s="105"/>
      <c r="B913" s="105"/>
      <c r="C913" s="105"/>
      <c r="E913" s="105"/>
      <c r="G913" s="105"/>
    </row>
    <row r="914">
      <c r="A914" s="105"/>
      <c r="B914" s="105"/>
      <c r="C914" s="105"/>
      <c r="E914" s="105"/>
      <c r="G914" s="105"/>
    </row>
    <row r="915">
      <c r="A915" s="105"/>
      <c r="B915" s="105"/>
      <c r="C915" s="105"/>
      <c r="E915" s="105"/>
      <c r="G915" s="105"/>
    </row>
    <row r="916">
      <c r="A916" s="105"/>
      <c r="B916" s="105"/>
      <c r="C916" s="105"/>
      <c r="E916" s="105"/>
      <c r="G916" s="105"/>
    </row>
    <row r="917">
      <c r="A917" s="105"/>
      <c r="B917" s="105"/>
      <c r="C917" s="105"/>
      <c r="E917" s="105"/>
      <c r="G917" s="105"/>
    </row>
    <row r="918">
      <c r="A918" s="105"/>
      <c r="B918" s="105"/>
      <c r="C918" s="105"/>
      <c r="E918" s="105"/>
      <c r="G918" s="105"/>
    </row>
    <row r="919">
      <c r="A919" s="105"/>
      <c r="B919" s="105"/>
      <c r="C919" s="105"/>
      <c r="E919" s="105"/>
      <c r="G919" s="105"/>
    </row>
    <row r="920">
      <c r="A920" s="105"/>
      <c r="B920" s="105"/>
      <c r="C920" s="105"/>
      <c r="E920" s="105"/>
      <c r="G920" s="105"/>
    </row>
    <row r="921">
      <c r="A921" s="105"/>
      <c r="B921" s="105"/>
      <c r="C921" s="105"/>
      <c r="E921" s="105"/>
      <c r="G921" s="105"/>
    </row>
    <row r="922">
      <c r="A922" s="105"/>
      <c r="B922" s="105"/>
      <c r="C922" s="105"/>
      <c r="E922" s="105"/>
      <c r="G922" s="105"/>
    </row>
    <row r="923">
      <c r="A923" s="105"/>
      <c r="B923" s="105"/>
      <c r="C923" s="105"/>
      <c r="E923" s="105"/>
      <c r="G923" s="105"/>
    </row>
    <row r="924">
      <c r="A924" s="105"/>
      <c r="B924" s="105"/>
      <c r="C924" s="105"/>
      <c r="E924" s="105"/>
      <c r="G924" s="105"/>
    </row>
    <row r="925">
      <c r="A925" s="105"/>
      <c r="B925" s="105"/>
      <c r="C925" s="105"/>
      <c r="E925" s="105"/>
      <c r="G925" s="105"/>
    </row>
    <row r="926">
      <c r="A926" s="105"/>
      <c r="B926" s="105"/>
      <c r="C926" s="105"/>
      <c r="E926" s="105"/>
      <c r="G926" s="105"/>
    </row>
    <row r="927">
      <c r="A927" s="105"/>
      <c r="B927" s="105"/>
      <c r="C927" s="105"/>
      <c r="E927" s="105"/>
      <c r="G927" s="105"/>
    </row>
    <row r="928">
      <c r="A928" s="105"/>
      <c r="B928" s="105"/>
      <c r="C928" s="105"/>
      <c r="E928" s="105"/>
      <c r="G928" s="105"/>
    </row>
    <row r="929">
      <c r="A929" s="105"/>
      <c r="B929" s="105"/>
      <c r="C929" s="105"/>
      <c r="E929" s="105"/>
      <c r="G929" s="105"/>
    </row>
    <row r="930">
      <c r="A930" s="105"/>
      <c r="B930" s="105"/>
      <c r="C930" s="105"/>
      <c r="E930" s="105"/>
      <c r="G930" s="105"/>
    </row>
    <row r="931">
      <c r="A931" s="105"/>
      <c r="B931" s="105"/>
      <c r="C931" s="105"/>
      <c r="E931" s="105"/>
      <c r="G931" s="105"/>
    </row>
    <row r="932">
      <c r="A932" s="105"/>
      <c r="B932" s="105"/>
      <c r="C932" s="105"/>
      <c r="E932" s="105"/>
      <c r="G932" s="105"/>
    </row>
    <row r="933">
      <c r="A933" s="105"/>
      <c r="B933" s="105"/>
      <c r="C933" s="105"/>
      <c r="E933" s="105"/>
      <c r="G933" s="105"/>
    </row>
    <row r="934">
      <c r="A934" s="105"/>
      <c r="B934" s="105"/>
      <c r="C934" s="105"/>
      <c r="E934" s="105"/>
      <c r="G934" s="105"/>
    </row>
    <row r="935">
      <c r="A935" s="105"/>
      <c r="B935" s="105"/>
      <c r="C935" s="105"/>
      <c r="E935" s="105"/>
      <c r="G935" s="105"/>
    </row>
    <row r="936">
      <c r="A936" s="105"/>
      <c r="B936" s="105"/>
      <c r="C936" s="105"/>
      <c r="E936" s="105"/>
      <c r="G936" s="105"/>
    </row>
    <row r="937">
      <c r="A937" s="105"/>
      <c r="B937" s="105"/>
      <c r="C937" s="105"/>
      <c r="E937" s="105"/>
      <c r="G937" s="105"/>
    </row>
    <row r="938">
      <c r="A938" s="105"/>
      <c r="B938" s="105"/>
      <c r="C938" s="105"/>
      <c r="E938" s="105"/>
      <c r="G938" s="105"/>
    </row>
    <row r="939">
      <c r="A939" s="105"/>
      <c r="B939" s="105"/>
      <c r="C939" s="105"/>
      <c r="E939" s="105"/>
      <c r="G939" s="105"/>
    </row>
    <row r="940">
      <c r="A940" s="105"/>
      <c r="B940" s="105"/>
      <c r="C940" s="105"/>
      <c r="E940" s="105"/>
      <c r="G940" s="105"/>
    </row>
    <row r="941">
      <c r="A941" s="105"/>
      <c r="B941" s="105"/>
      <c r="C941" s="105"/>
      <c r="E941" s="105"/>
      <c r="G941" s="105"/>
    </row>
    <row r="942">
      <c r="A942" s="105"/>
      <c r="B942" s="105"/>
      <c r="C942" s="105"/>
      <c r="E942" s="105"/>
      <c r="G942" s="105"/>
    </row>
    <row r="943">
      <c r="A943" s="105"/>
      <c r="B943" s="105"/>
      <c r="C943" s="105"/>
      <c r="E943" s="105"/>
      <c r="G943" s="105"/>
    </row>
    <row r="944">
      <c r="A944" s="105"/>
      <c r="B944" s="105"/>
      <c r="C944" s="105"/>
      <c r="E944" s="105"/>
      <c r="G944" s="105"/>
    </row>
    <row r="945">
      <c r="A945" s="105"/>
      <c r="B945" s="105"/>
      <c r="C945" s="105"/>
      <c r="E945" s="105"/>
      <c r="G945" s="105"/>
    </row>
    <row r="946">
      <c r="A946" s="105"/>
      <c r="B946" s="105"/>
      <c r="C946" s="105"/>
      <c r="E946" s="105"/>
      <c r="G946" s="105"/>
    </row>
    <row r="947">
      <c r="A947" s="105"/>
      <c r="B947" s="105"/>
      <c r="C947" s="105"/>
      <c r="E947" s="105"/>
      <c r="G947" s="105"/>
    </row>
    <row r="948">
      <c r="A948" s="105"/>
      <c r="B948" s="105"/>
      <c r="C948" s="105"/>
      <c r="E948" s="105"/>
      <c r="G948" s="105"/>
    </row>
    <row r="949">
      <c r="A949" s="105"/>
      <c r="B949" s="105"/>
      <c r="C949" s="105"/>
      <c r="E949" s="105"/>
      <c r="G949" s="105"/>
    </row>
    <row r="950">
      <c r="A950" s="105"/>
      <c r="B950" s="105"/>
      <c r="C950" s="105"/>
      <c r="E950" s="105"/>
      <c r="G950" s="105"/>
    </row>
    <row r="951">
      <c r="A951" s="105"/>
      <c r="B951" s="105"/>
      <c r="C951" s="105"/>
      <c r="E951" s="105"/>
      <c r="G951" s="105"/>
    </row>
    <row r="952">
      <c r="A952" s="105"/>
      <c r="B952" s="105"/>
      <c r="C952" s="105"/>
      <c r="E952" s="105"/>
      <c r="G952" s="105"/>
    </row>
    <row r="953">
      <c r="A953" s="105"/>
      <c r="B953" s="105"/>
      <c r="C953" s="105"/>
      <c r="E953" s="105"/>
      <c r="G953" s="105"/>
    </row>
    <row r="954">
      <c r="A954" s="105"/>
      <c r="B954" s="105"/>
      <c r="C954" s="105"/>
      <c r="E954" s="105"/>
      <c r="G954" s="105"/>
    </row>
    <row r="955">
      <c r="A955" s="105"/>
      <c r="B955" s="105"/>
      <c r="C955" s="105"/>
      <c r="E955" s="105"/>
      <c r="G955" s="105"/>
    </row>
    <row r="956">
      <c r="A956" s="105"/>
      <c r="B956" s="105"/>
      <c r="C956" s="105"/>
      <c r="E956" s="105"/>
      <c r="G956" s="105"/>
    </row>
    <row r="957">
      <c r="A957" s="105"/>
      <c r="B957" s="105"/>
      <c r="C957" s="105"/>
      <c r="E957" s="105"/>
      <c r="G957" s="105"/>
    </row>
    <row r="958">
      <c r="A958" s="105"/>
      <c r="B958" s="105"/>
      <c r="C958" s="105"/>
      <c r="E958" s="105"/>
      <c r="G958" s="105"/>
    </row>
    <row r="959">
      <c r="A959" s="105"/>
      <c r="B959" s="105"/>
      <c r="C959" s="105"/>
      <c r="E959" s="105"/>
      <c r="G959" s="105"/>
    </row>
    <row r="960">
      <c r="A960" s="105"/>
      <c r="B960" s="105"/>
      <c r="C960" s="105"/>
      <c r="E960" s="105"/>
      <c r="G960" s="105"/>
    </row>
    <row r="961">
      <c r="A961" s="105"/>
      <c r="B961" s="105"/>
      <c r="C961" s="105"/>
      <c r="E961" s="105"/>
      <c r="G961" s="105"/>
    </row>
    <row r="962">
      <c r="A962" s="105"/>
      <c r="B962" s="105"/>
      <c r="C962" s="105"/>
      <c r="E962" s="105"/>
      <c r="G962" s="105"/>
    </row>
    <row r="963">
      <c r="A963" s="105"/>
      <c r="B963" s="105"/>
      <c r="C963" s="105"/>
      <c r="E963" s="105"/>
      <c r="G963" s="105"/>
    </row>
    <row r="964">
      <c r="A964" s="105"/>
      <c r="B964" s="105"/>
      <c r="C964" s="105"/>
      <c r="E964" s="105"/>
      <c r="G964" s="105"/>
    </row>
    <row r="965">
      <c r="A965" s="105"/>
      <c r="B965" s="105"/>
      <c r="C965" s="105"/>
      <c r="E965" s="105"/>
      <c r="G965" s="105"/>
    </row>
    <row r="966">
      <c r="A966" s="105"/>
      <c r="B966" s="105"/>
      <c r="C966" s="105"/>
      <c r="E966" s="105"/>
      <c r="G966" s="105"/>
    </row>
    <row r="967">
      <c r="A967" s="105"/>
      <c r="B967" s="105"/>
      <c r="C967" s="105"/>
      <c r="E967" s="105"/>
      <c r="G967" s="105"/>
    </row>
    <row r="968">
      <c r="A968" s="105"/>
      <c r="B968" s="105"/>
      <c r="C968" s="105"/>
      <c r="E968" s="105"/>
      <c r="G968" s="105"/>
    </row>
    <row r="969">
      <c r="A969" s="105"/>
      <c r="B969" s="105"/>
      <c r="C969" s="105"/>
      <c r="E969" s="105"/>
      <c r="G969" s="105"/>
    </row>
    <row r="970">
      <c r="A970" s="105"/>
      <c r="B970" s="105"/>
      <c r="C970" s="105"/>
      <c r="E970" s="105"/>
      <c r="G970" s="105"/>
    </row>
    <row r="971">
      <c r="A971" s="105"/>
      <c r="B971" s="105"/>
      <c r="C971" s="105"/>
      <c r="E971" s="105"/>
      <c r="G971" s="105"/>
    </row>
    <row r="972">
      <c r="A972" s="105"/>
      <c r="B972" s="105"/>
      <c r="C972" s="105"/>
      <c r="E972" s="105"/>
      <c r="G972" s="105"/>
    </row>
    <row r="973">
      <c r="A973" s="105"/>
      <c r="B973" s="105"/>
      <c r="C973" s="105"/>
      <c r="E973" s="105"/>
      <c r="G973" s="105"/>
    </row>
    <row r="974">
      <c r="A974" s="105"/>
      <c r="B974" s="105"/>
      <c r="C974" s="105"/>
      <c r="E974" s="105"/>
      <c r="G974" s="105"/>
    </row>
    <row r="975">
      <c r="A975" s="105"/>
      <c r="B975" s="105"/>
      <c r="C975" s="105"/>
      <c r="E975" s="105"/>
      <c r="G975" s="105"/>
    </row>
    <row r="976">
      <c r="A976" s="105"/>
      <c r="B976" s="105"/>
      <c r="C976" s="105"/>
      <c r="E976" s="105"/>
      <c r="G976" s="105"/>
    </row>
    <row r="977">
      <c r="A977" s="105"/>
      <c r="B977" s="105"/>
      <c r="C977" s="105"/>
      <c r="E977" s="105"/>
      <c r="G977" s="105"/>
    </row>
    <row r="978">
      <c r="A978" s="105"/>
      <c r="B978" s="105"/>
      <c r="C978" s="105"/>
      <c r="E978" s="105"/>
      <c r="G978" s="105"/>
    </row>
    <row r="979">
      <c r="A979" s="105"/>
      <c r="B979" s="105"/>
      <c r="C979" s="105"/>
      <c r="E979" s="105"/>
      <c r="G979" s="105"/>
    </row>
    <row r="980">
      <c r="A980" s="105"/>
      <c r="B980" s="105"/>
      <c r="C980" s="105"/>
      <c r="E980" s="105"/>
      <c r="G980" s="105"/>
    </row>
    <row r="981">
      <c r="A981" s="105"/>
      <c r="B981" s="105"/>
      <c r="C981" s="105"/>
      <c r="E981" s="105"/>
      <c r="G981" s="105"/>
    </row>
    <row r="982">
      <c r="A982" s="105"/>
      <c r="B982" s="105"/>
      <c r="C982" s="105"/>
      <c r="E982" s="105"/>
      <c r="G982" s="105"/>
    </row>
    <row r="983">
      <c r="A983" s="105"/>
      <c r="B983" s="105"/>
      <c r="C983" s="105"/>
      <c r="E983" s="105"/>
      <c r="G983" s="105"/>
    </row>
    <row r="984">
      <c r="A984" s="105"/>
      <c r="B984" s="105"/>
      <c r="C984" s="105"/>
      <c r="E984" s="105"/>
      <c r="G984" s="105"/>
    </row>
    <row r="985">
      <c r="A985" s="105"/>
      <c r="B985" s="105"/>
      <c r="C985" s="105"/>
      <c r="E985" s="105"/>
      <c r="G985" s="105"/>
    </row>
    <row r="986">
      <c r="A986" s="105"/>
      <c r="B986" s="105"/>
      <c r="C986" s="105"/>
      <c r="E986" s="105"/>
      <c r="G986" s="105"/>
    </row>
    <row r="987">
      <c r="A987" s="105"/>
      <c r="B987" s="105"/>
      <c r="C987" s="105"/>
      <c r="E987" s="105"/>
      <c r="G987" s="105"/>
    </row>
    <row r="988">
      <c r="A988" s="105"/>
      <c r="B988" s="105"/>
      <c r="C988" s="105"/>
      <c r="E988" s="105"/>
      <c r="G988" s="105"/>
    </row>
    <row r="989">
      <c r="A989" s="105"/>
      <c r="B989" s="105"/>
      <c r="C989" s="105"/>
      <c r="E989" s="105"/>
      <c r="G989" s="105"/>
    </row>
    <row r="990">
      <c r="A990" s="105"/>
      <c r="B990" s="105"/>
      <c r="C990" s="105"/>
      <c r="E990" s="105"/>
      <c r="G990" s="105"/>
    </row>
    <row r="991">
      <c r="A991" s="105"/>
      <c r="B991" s="105"/>
      <c r="C991" s="105"/>
      <c r="E991" s="105"/>
      <c r="G991" s="105"/>
    </row>
    <row r="992">
      <c r="A992" s="105"/>
      <c r="B992" s="105"/>
      <c r="C992" s="105"/>
      <c r="E992" s="105"/>
      <c r="G992" s="105"/>
    </row>
    <row r="993">
      <c r="A993" s="105"/>
      <c r="B993" s="105"/>
      <c r="C993" s="105"/>
      <c r="E993" s="105"/>
      <c r="G993" s="105"/>
    </row>
    <row r="994">
      <c r="A994" s="105"/>
      <c r="B994" s="105"/>
      <c r="C994" s="105"/>
      <c r="E994" s="105"/>
      <c r="G994" s="105"/>
    </row>
    <row r="995">
      <c r="A995" s="105"/>
      <c r="B995" s="105"/>
      <c r="C995" s="105"/>
      <c r="E995" s="105"/>
      <c r="G995" s="105"/>
    </row>
    <row r="996">
      <c r="A996" s="105"/>
      <c r="B996" s="105"/>
      <c r="C996" s="105"/>
      <c r="E996" s="105"/>
      <c r="G996" s="105"/>
    </row>
    <row r="997">
      <c r="A997" s="105"/>
      <c r="B997" s="105"/>
      <c r="C997" s="105"/>
      <c r="E997" s="105"/>
      <c r="G997" s="105"/>
    </row>
    <row r="998">
      <c r="A998" s="105"/>
      <c r="B998" s="105"/>
      <c r="C998" s="105"/>
      <c r="E998" s="105"/>
      <c r="G998" s="105"/>
    </row>
    <row r="999">
      <c r="A999" s="105"/>
      <c r="B999" s="105"/>
      <c r="C999" s="105"/>
      <c r="E999" s="105"/>
      <c r="G999" s="105"/>
    </row>
    <row r="1000">
      <c r="A1000" s="105"/>
      <c r="B1000" s="105"/>
      <c r="C1000" s="105"/>
      <c r="E1000" s="105"/>
      <c r="G1000" s="105"/>
    </row>
    <row r="1001">
      <c r="A1001" s="105"/>
      <c r="B1001" s="105"/>
      <c r="C1001" s="105"/>
      <c r="E1001" s="105"/>
      <c r="G1001" s="105"/>
    </row>
  </sheetData>
  <hyperlinks>
    <hyperlink display="SISTEMA" location="Lev.Quadros!E1" ref="A1"/>
    <hyperlink display="Tipos NF" location="null!F1" ref="B1"/>
    <hyperlink display="Fornecedor" location="null!g1" ref="C1"/>
    <hyperlink display="Situação Quadro" location="Lev.Quadros!I1" ref="E1"/>
  </hyperlin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0" max="21" width="154.43"/>
    <col customWidth="1" min="22" max="22" width="80.29"/>
    <col customWidth="1" min="23" max="23" width="87.57"/>
    <col customWidth="1" min="24" max="32" width="154.43"/>
  </cols>
  <sheetData>
    <row r="1">
      <c r="A1" s="10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7" t="s">
        <v>185</v>
      </c>
    </row>
    <row r="2">
      <c r="A2" s="108" t="str">
        <f>IFERROR(__xludf.DUMMYFUNCTION("IMPORTRANGE(""https://docs.google.com/spreadsheets/d/1PxkT-WtVeT7ZFXR4Z2e0WbSkqxChNhH4aDbJSxmkwOA/edit?usp=sharing"",""Localização!A1:j1004"")"),"NomeConc.")</f>
        <v>NomeConc.</v>
      </c>
      <c r="B2" s="108" t="str">
        <f>IFERROR(__xludf.DUMMYFUNCTION("""COMPUTED_VALUE"""),"Pavimento")</f>
        <v>Pavimento</v>
      </c>
      <c r="C2" s="108" t="str">
        <f>IFERROR(__xludf.DUMMYFUNCTION("""COMPUTED_VALUE"""),"2ºPav.")</f>
        <v>2ºPav.</v>
      </c>
      <c r="D2" s="108" t="str">
        <f>IFERROR(__xludf.DUMMYFUNCTION("""COMPUTED_VALUE"""),"Parent")</f>
        <v>Parent</v>
      </c>
      <c r="E2" s="108" t="str">
        <f>IFERROR(__xludf.DUMMYFUNCTION("""COMPUTED_VALUE"""),"Setor")</f>
        <v>Setor</v>
      </c>
      <c r="F2" s="108" t="str">
        <f>IFERROR(__xludf.DUMMYFUNCTION("""COMPUTED_VALUE"""),"Pin")</f>
        <v>Pin</v>
      </c>
      <c r="G2" s="108" t="str">
        <f>IFERROR(__xludf.DUMMYFUNCTION("""COMPUTED_VALUE"""),"Link")</f>
        <v>Link</v>
      </c>
      <c r="H2" s="109" t="str">
        <f>IFERROR(__xludf.DUMMYFUNCTION("""COMPUTED_VALUE"""),"Tipo")</f>
        <v>Tipo</v>
      </c>
      <c r="I2" s="108" t="str">
        <f>IFERROR(__xludf.DUMMYFUNCTION("""COMPUTED_VALUE"""),"Foto360º")</f>
        <v>Foto360º</v>
      </c>
      <c r="J2" s="108" t="str">
        <f>IFERROR(__xludf.DUMMYFUNCTION("""COMPUTED_VALUE"""),"Porta")</f>
        <v>Porta</v>
      </c>
    </row>
    <row r="3">
      <c r="A3" s="109" t="str">
        <f>IFERROR(__xludf.DUMMYFUNCTION("""COMPUTED_VALUE"""),"2ºPav.")</f>
        <v>2ºPav.</v>
      </c>
      <c r="B3" s="108" t="str">
        <f>IFERROR(__xludf.DUMMYFUNCTION("""COMPUTED_VALUE"""),"2ºPav.")</f>
        <v>2ºPav.</v>
      </c>
      <c r="C3" s="108" t="str">
        <f>IFERROR(__xludf.DUMMYFUNCTION("""COMPUTED_VALUE"""),"2ºPav.")</f>
        <v>2ºPav.</v>
      </c>
      <c r="D3" s="108"/>
      <c r="E3" s="108" t="str">
        <f>IFERROR(__xludf.DUMMYFUNCTION("""COMPUTED_VALUE"""),"A")</f>
        <v>A</v>
      </c>
      <c r="F3" s="108">
        <f>IFERROR(__xludf.DUMMYFUNCTION("""COMPUTED_VALUE"""),1.0)</f>
        <v>1</v>
      </c>
      <c r="G3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655ec21f86d64b45b2f2d31b25a4e13b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655ec21f86d64b45b2f2d31b25a4e13b&amp;showComments=1&amp;guid=6882be48-6626-5238-d3df-94e9f0a0019d</v>
      </c>
      <c r="H3" s="108" t="str">
        <f>IFERROR(__xludf.DUMMYFUNCTION("""COMPUTED_VALUE"""),"Geral")</f>
        <v>Geral</v>
      </c>
      <c r="I3" s="109" t="str">
        <f>IFERROR(__xludf.DUMMYFUNCTION("""COMPUTED_VALUE"""),"https://photos.google.com/share/AF1QipMp8IwP1oaaM3uZxlFtOvkb9lpx3bxXWYKmZy5pRl7ZdMCEu7RH7rnzo4fFMbH0NA?key=a1ZQWFp2S2R2Vkp1cVRuX3dGTVVXRVJRQm9udUFB")</f>
        <v>https://photos.google.com/share/AF1QipMp8IwP1oaaM3uZxlFtOvkb9lpx3bxXWYKmZy5pRl7ZdMCEu7RH7rnzo4fFMbH0NA?key=a1ZQWFp2S2R2Vkp1cVRuX3dGTVVXRVJRQm9udUFB</v>
      </c>
      <c r="J3" s="108"/>
    </row>
    <row r="4">
      <c r="A4" s="109" t="str">
        <f>IFERROR(__xludf.DUMMYFUNCTION("""COMPUTED_VALUE"""),"2ºPav.-Administrativa FME")</f>
        <v>2ºPav.-Administrativa FME</v>
      </c>
      <c r="B4" s="108" t="str">
        <f>IFERROR(__xludf.DUMMYFUNCTION("""COMPUTED_VALUE"""),"2ºPav.")</f>
        <v>2ºPav.</v>
      </c>
      <c r="C4" s="108" t="str">
        <f>IFERROR(__xludf.DUMMYFUNCTION("""COMPUTED_VALUE"""),"Administrativa FME")</f>
        <v>Administrativa FME</v>
      </c>
      <c r="D4" s="108" t="str">
        <f>IFERROR(__xludf.DUMMYFUNCTION("""COMPUTED_VALUE"""),"2ºPav.")</f>
        <v>2ºPav.</v>
      </c>
      <c r="E4" s="108" t="str">
        <f>IFERROR(__xludf.DUMMYFUNCTION("""COMPUTED_VALUE"""),"A")</f>
        <v>A</v>
      </c>
      <c r="F4" s="108"/>
      <c r="G4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3c6e25073639441e8e347606248889a2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3c6e25073639441e8e347606248889a2&amp;showComments=1&amp;guid=6882be48-6626-5238-d3df-94e9f0a0019d</v>
      </c>
      <c r="H4" s="108" t="str">
        <f>IFERROR(__xludf.DUMMYFUNCTION("""COMPUTED_VALUE"""),"Outros")</f>
        <v>Outros</v>
      </c>
      <c r="I4" s="108"/>
      <c r="J4" s="108"/>
    </row>
    <row r="5">
      <c r="A5" s="109" t="str">
        <f>IFERROR(__xludf.DUMMYFUNCTION("""COMPUTED_VALUE"""),"2ºPav.-Antecâmara Setor A")</f>
        <v>2ºPav.-Antecâmara Setor A</v>
      </c>
      <c r="B5" s="108" t="str">
        <f>IFERROR(__xludf.DUMMYFUNCTION("""COMPUTED_VALUE"""),"2ºPav.")</f>
        <v>2ºPav.</v>
      </c>
      <c r="C5" s="108" t="str">
        <f>IFERROR(__xludf.DUMMYFUNCTION("""COMPUTED_VALUE"""),"Antecâmara Setor A")</f>
        <v>Antecâmara Setor A</v>
      </c>
      <c r="D5" s="108" t="str">
        <f>IFERROR(__xludf.DUMMYFUNCTION("""COMPUTED_VALUE"""),"2ºPav.")</f>
        <v>2ºPav.</v>
      </c>
      <c r="E5" s="108" t="str">
        <f>IFERROR(__xludf.DUMMYFUNCTION("""COMPUTED_VALUE"""),"A")</f>
        <v>A</v>
      </c>
      <c r="F5" s="108">
        <f>IFERROR(__xludf.DUMMYFUNCTION("""COMPUTED_VALUE"""),61.0)</f>
        <v>61</v>
      </c>
      <c r="G5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7b8291e7388243c5a7a1d954f8752a0e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7b8291e7388243c5a7a1d954f8752a0e&amp;showComments=1&amp;guid=6882be48-6626-5238-d3df-94e9f0a0019d</v>
      </c>
      <c r="H5" s="108" t="str">
        <f>IFERROR(__xludf.DUMMYFUNCTION("""COMPUTED_VALUE"""),"Circulação / Corredores")</f>
        <v>Circulação / Corredores</v>
      </c>
      <c r="I5" s="108"/>
      <c r="J5" s="108"/>
    </row>
    <row r="6">
      <c r="A6" s="109" t="str">
        <f>IFERROR(__xludf.DUMMYFUNCTION("""COMPUTED_VALUE"""),"2ºPav.-Antecâmara Setor B")</f>
        <v>2ºPav.-Antecâmara Setor B</v>
      </c>
      <c r="B6" s="108" t="str">
        <f>IFERROR(__xludf.DUMMYFUNCTION("""COMPUTED_VALUE"""),"2ºPav.")</f>
        <v>2ºPav.</v>
      </c>
      <c r="C6" s="108" t="str">
        <f>IFERROR(__xludf.DUMMYFUNCTION("""COMPUTED_VALUE"""),"Antecâmara Setor B")</f>
        <v>Antecâmara Setor B</v>
      </c>
      <c r="D6" s="108" t="str">
        <f>IFERROR(__xludf.DUMMYFUNCTION("""COMPUTED_VALUE"""),"2ºPav.")</f>
        <v>2ºPav.</v>
      </c>
      <c r="E6" s="108" t="str">
        <f>IFERROR(__xludf.DUMMYFUNCTION("""COMPUTED_VALUE"""),"B")</f>
        <v>B</v>
      </c>
      <c r="F6" s="108">
        <f>IFERROR(__xludf.DUMMYFUNCTION("""COMPUTED_VALUE"""),59.0)</f>
        <v>59</v>
      </c>
      <c r="G6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436cc99776e744639bf94d5149a12056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436cc99776e744639bf94d5149a12056&amp;showComments=1&amp;guid=6882be48-6626-5238-d3df-94e9f0a0019d</v>
      </c>
      <c r="H6" s="108" t="str">
        <f>IFERROR(__xludf.DUMMYFUNCTION("""COMPUTED_VALUE"""),"Circulação / Corredores")</f>
        <v>Circulação / Corredores</v>
      </c>
      <c r="I6" s="109" t="str">
        <f>IFERROR(__xludf.DUMMYFUNCTION("""COMPUTED_VALUE"""),"https://photos.google.com/search/2%C2%BAPav.-Antec%C3%A2mara%20Setor%20B")</f>
        <v>https://photos.google.com/search/2%C2%BAPav.-Antec%C3%A2mara%20Setor%20B</v>
      </c>
      <c r="J6" s="108"/>
    </row>
    <row r="7">
      <c r="A7" s="109" t="str">
        <f>IFERROR(__xludf.DUMMYFUNCTION("""COMPUTED_VALUE"""),"2ºPav.-Área Registro de Pacientes")</f>
        <v>2ºPav.-Área Registro de Pacientes</v>
      </c>
      <c r="B7" s="108" t="str">
        <f>IFERROR(__xludf.DUMMYFUNCTION("""COMPUTED_VALUE"""),"2ºPav.")</f>
        <v>2ºPav.</v>
      </c>
      <c r="C7" s="108" t="str">
        <f>IFERROR(__xludf.DUMMYFUNCTION("""COMPUTED_VALUE"""),"Área Registro de Pacientes")</f>
        <v>Área Registro de Pacientes</v>
      </c>
      <c r="D7" s="108" t="str">
        <f>IFERROR(__xludf.DUMMYFUNCTION("""COMPUTED_VALUE"""),"2ºPav.")</f>
        <v>2ºPav.</v>
      </c>
      <c r="E7" s="108" t="str">
        <f>IFERROR(__xludf.DUMMYFUNCTION("""COMPUTED_VALUE"""),"A")</f>
        <v>A</v>
      </c>
      <c r="F7" s="108"/>
      <c r="G7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c54e018dfcd6449cb526a56a57d62ee8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c54e018dfcd6449cb526a56a57d62ee8&amp;showComments=1&amp;guid=6882be48-6626-5238-d3df-94e9f0a0019d</v>
      </c>
      <c r="H7" s="108" t="str">
        <f>IFERROR(__xludf.DUMMYFUNCTION("""COMPUTED_VALUE"""),"Recepção")</f>
        <v>Recepção</v>
      </c>
      <c r="I7" s="109" t="str">
        <f>IFERROR(__xludf.DUMMYFUNCTION("""COMPUTED_VALUE"""),"https://photos.google.com/search/2%C2%BAPav.-%C3%81rea%20Registro%20de%20Pacientes")</f>
        <v>https://photos.google.com/search/2%C2%BAPav.-%C3%81rea%20Registro%20de%20Pacientes</v>
      </c>
      <c r="J7" s="108"/>
    </row>
    <row r="8">
      <c r="A8" s="109" t="str">
        <f>IFERROR(__xludf.DUMMYFUNCTION("""COMPUTED_VALUE"""),"2ºPav.-Armazenamento FME")</f>
        <v>2ºPav.-Armazenamento FME</v>
      </c>
      <c r="B8" s="108" t="str">
        <f>IFERROR(__xludf.DUMMYFUNCTION("""COMPUTED_VALUE"""),"2ºPav.")</f>
        <v>2ºPav.</v>
      </c>
      <c r="C8" s="108" t="str">
        <f>IFERROR(__xludf.DUMMYFUNCTION("""COMPUTED_VALUE"""),"Armazenamento FME")</f>
        <v>Armazenamento FME</v>
      </c>
      <c r="D8" s="108" t="str">
        <f>IFERROR(__xludf.DUMMYFUNCTION("""COMPUTED_VALUE"""),"2ºPav.")</f>
        <v>2ºPav.</v>
      </c>
      <c r="E8" s="108" t="str">
        <f>IFERROR(__xludf.DUMMYFUNCTION("""COMPUTED_VALUE"""),"A")</f>
        <v>A</v>
      </c>
      <c r="F8" s="108"/>
      <c r="G8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2092d960dc73478c937a3506afaa9454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2092d960dc73478c937a3506afaa9454&amp;showComments=1&amp;guid=6882be48-6626-5238-d3df-94e9f0a0019d</v>
      </c>
      <c r="H8" s="108" t="str">
        <f>IFERROR(__xludf.DUMMYFUNCTION("""COMPUTED_VALUE"""),"Outros")</f>
        <v>Outros</v>
      </c>
      <c r="I8" s="109" t="str">
        <f>IFERROR(__xludf.DUMMYFUNCTION("""COMPUTED_VALUE"""),"https://photos.google.com/search/2%C2%BAPav.-Armazenamento%20FME")</f>
        <v>https://photos.google.com/search/2%C2%BAPav.-Armazenamento%20FME</v>
      </c>
      <c r="J8" s="108"/>
    </row>
    <row r="9">
      <c r="A9" s="109" t="str">
        <f>IFERROR(__xludf.DUMMYFUNCTION("""COMPUTED_VALUE"""),"2ºPav.-Assistente Social")</f>
        <v>2ºPav.-Assistente Social</v>
      </c>
      <c r="B9" s="108" t="str">
        <f>IFERROR(__xludf.DUMMYFUNCTION("""COMPUTED_VALUE"""),"2ºPav.")</f>
        <v>2ºPav.</v>
      </c>
      <c r="C9" s="108" t="str">
        <f>IFERROR(__xludf.DUMMYFUNCTION("""COMPUTED_VALUE"""),"Assistente Social")</f>
        <v>Assistente Social</v>
      </c>
      <c r="D9" s="108" t="str">
        <f>IFERROR(__xludf.DUMMYFUNCTION("""COMPUTED_VALUE"""),"2ºPav.")</f>
        <v>2ºPav.</v>
      </c>
      <c r="E9" s="108" t="str">
        <f>IFERROR(__xludf.DUMMYFUNCTION("""COMPUTED_VALUE"""),"A")</f>
        <v>A</v>
      </c>
      <c r="F9" s="108"/>
      <c r="G9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b308e19492464a80b8d6ea28bd847077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b308e19492464a80b8d6ea28bd847077&amp;showComments=1&amp;guid=6882be48-6626-5238-d3df-94e9f0a0019d</v>
      </c>
      <c r="H9" s="108" t="str">
        <f>IFERROR(__xludf.DUMMYFUNCTION("""COMPUTED_VALUE"""),"Consultório")</f>
        <v>Consultório</v>
      </c>
      <c r="I9" s="109" t="str">
        <f>IFERROR(__xludf.DUMMYFUNCTION("""COMPUTED_VALUE"""),"https://photos.google.com/search/2%C2%BAPav.-Assistente%20Social")</f>
        <v>https://photos.google.com/search/2%C2%BAPav.-Assistente%20Social</v>
      </c>
      <c r="J9" s="108"/>
    </row>
    <row r="10">
      <c r="A10" s="109" t="str">
        <f>IFERROR(__xludf.DUMMYFUNCTION("""COMPUTED_VALUE"""),"2ºPav.-Box Privativo Aplicação Quimioterápicos")</f>
        <v>2ºPav.-Box Privativo Aplicação Quimioterápicos</v>
      </c>
      <c r="B10" s="108" t="str">
        <f>IFERROR(__xludf.DUMMYFUNCTION("""COMPUTED_VALUE"""),"2ºPav.")</f>
        <v>2ºPav.</v>
      </c>
      <c r="C10" s="108" t="str">
        <f>IFERROR(__xludf.DUMMYFUNCTION("""COMPUTED_VALUE"""),"Box Privativo Aplicação Quimioterápicos")</f>
        <v>Box Privativo Aplicação Quimioterápicos</v>
      </c>
      <c r="D10" s="108" t="str">
        <f>IFERROR(__xludf.DUMMYFUNCTION("""COMPUTED_VALUE"""),"2ºPav.")</f>
        <v>2ºPav.</v>
      </c>
      <c r="E10" s="108" t="str">
        <f>IFERROR(__xludf.DUMMYFUNCTION("""COMPUTED_VALUE"""),"A")</f>
        <v>A</v>
      </c>
      <c r="F10" s="108"/>
      <c r="G10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bce2bf4a74b24481bc21c127432efe65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bce2bf4a74b24481bc21c127432efe65&amp;showComments=1&amp;guid=6882be48-6626-5238-d3df-94e9f0a0019d</v>
      </c>
      <c r="H10" s="108" t="str">
        <f>IFERROR(__xludf.DUMMYFUNCTION("""COMPUTED_VALUE"""),"Aplicação")</f>
        <v>Aplicação</v>
      </c>
      <c r="I10" s="108"/>
      <c r="J10" s="108"/>
    </row>
    <row r="11">
      <c r="A11" s="109" t="str">
        <f>IFERROR(__xludf.DUMMYFUNCTION("""COMPUTED_VALUE"""),"2ºPav.-Circulação Monta Carga")</f>
        <v>2ºPav.-Circulação Monta Carga</v>
      </c>
      <c r="B11" s="108" t="str">
        <f>IFERROR(__xludf.DUMMYFUNCTION("""COMPUTED_VALUE"""),"2ºPav.")</f>
        <v>2ºPav.</v>
      </c>
      <c r="C11" s="108" t="str">
        <f>IFERROR(__xludf.DUMMYFUNCTION("""COMPUTED_VALUE"""),"Circulação Monta Carga")</f>
        <v>Circulação Monta Carga</v>
      </c>
      <c r="D11" s="108" t="str">
        <f>IFERROR(__xludf.DUMMYFUNCTION("""COMPUTED_VALUE"""),"2ºPav.")</f>
        <v>2ºPav.</v>
      </c>
      <c r="E11" s="108" t="str">
        <f>IFERROR(__xludf.DUMMYFUNCTION("""COMPUTED_VALUE"""),"A")</f>
        <v>A</v>
      </c>
      <c r="F11" s="108">
        <f>IFERROR(__xludf.DUMMYFUNCTION("""COMPUTED_VALUE"""),12.0)</f>
        <v>12</v>
      </c>
      <c r="G11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b4e772a941f64d0a803b93128435622c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b4e772a941f64d0a803b93128435622c&amp;showComments=1&amp;guid=6882be48-6626-5238-d3df-94e9f0a0019d</v>
      </c>
      <c r="H11" s="108" t="str">
        <f>IFERROR(__xludf.DUMMYFUNCTION("""COMPUTED_VALUE"""),"Outros")</f>
        <v>Outros</v>
      </c>
      <c r="I11" s="109" t="str">
        <f>IFERROR(__xludf.DUMMYFUNCTION("""COMPUTED_VALUE"""),"https://photos.google.com/search/2%C2%BAPav.-Circula%C3%A7%C3%A3o%20Monta%20Carga")</f>
        <v>https://photos.google.com/search/2%C2%BAPav.-Circula%C3%A7%C3%A3o%20Monta%20Carga</v>
      </c>
      <c r="J11" s="108"/>
    </row>
    <row r="12">
      <c r="A12" s="109" t="str">
        <f>IFERROR(__xludf.DUMMYFUNCTION("""COMPUTED_VALUE"""),"2ºPav.-Consultório")</f>
        <v>2ºPav.-Consultório</v>
      </c>
      <c r="B12" s="108" t="str">
        <f>IFERROR(__xludf.DUMMYFUNCTION("""COMPUTED_VALUE"""),"2ºPav.")</f>
        <v>2ºPav.</v>
      </c>
      <c r="C12" s="108" t="str">
        <f>IFERROR(__xludf.DUMMYFUNCTION("""COMPUTED_VALUE"""),"Consultório")</f>
        <v>Consultório</v>
      </c>
      <c r="D12" s="108" t="str">
        <f>IFERROR(__xludf.DUMMYFUNCTION("""COMPUTED_VALUE"""),"2ºPav.")</f>
        <v>2ºPav.</v>
      </c>
      <c r="E12" s="108" t="str">
        <f>IFERROR(__xludf.DUMMYFUNCTION("""COMPUTED_VALUE"""),"B")</f>
        <v>B</v>
      </c>
      <c r="F12" s="108"/>
      <c r="G12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d28eb067f9f24da08280197c8ac30ff6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d28eb067f9f24da08280197c8ac30ff6&amp;showComments=1&amp;guid=6882be48-6626-5238-d3df-94e9f0a0019d</v>
      </c>
      <c r="H12" s="108" t="str">
        <f>IFERROR(__xludf.DUMMYFUNCTION("""COMPUTED_VALUE"""),"Consultório")</f>
        <v>Consultório</v>
      </c>
      <c r="I12" s="108"/>
      <c r="J12" s="108"/>
    </row>
    <row r="13">
      <c r="A13" s="109" t="str">
        <f>IFERROR(__xludf.DUMMYFUNCTION("""COMPUTED_VALUE"""),"2ºPav.-Consultório FME")</f>
        <v>2ºPav.-Consultório FME</v>
      </c>
      <c r="B13" s="108" t="str">
        <f>IFERROR(__xludf.DUMMYFUNCTION("""COMPUTED_VALUE"""),"2ºPav.")</f>
        <v>2ºPav.</v>
      </c>
      <c r="C13" s="108" t="str">
        <f>IFERROR(__xludf.DUMMYFUNCTION("""COMPUTED_VALUE"""),"Consultório FME")</f>
        <v>Consultório FME</v>
      </c>
      <c r="D13" s="108" t="str">
        <f>IFERROR(__xludf.DUMMYFUNCTION("""COMPUTED_VALUE"""),"2ºPav.")</f>
        <v>2ºPav.</v>
      </c>
      <c r="E13" s="108" t="str">
        <f>IFERROR(__xludf.DUMMYFUNCTION("""COMPUTED_VALUE"""),"A")</f>
        <v>A</v>
      </c>
      <c r="F13" s="108"/>
      <c r="G13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54997e72ff6b450fa1b7246214f14ddf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54997e72ff6b450fa1b7246214f14ddf&amp;showComments=1&amp;guid=6882be48-6626-5238-d3df-94e9f0a0019d</v>
      </c>
      <c r="H13" s="108" t="str">
        <f>IFERROR(__xludf.DUMMYFUNCTION("""COMPUTED_VALUE"""),"Consultório")</f>
        <v>Consultório</v>
      </c>
      <c r="I13" s="108"/>
      <c r="J13" s="108"/>
    </row>
    <row r="14">
      <c r="A14" s="109" t="str">
        <f>IFERROR(__xludf.DUMMYFUNCTION("""COMPUTED_VALUE"""),"2ºPav.-Consultório Psicologia")</f>
        <v>2ºPav.-Consultório Psicologia</v>
      </c>
      <c r="B14" s="108" t="str">
        <f>IFERROR(__xludf.DUMMYFUNCTION("""COMPUTED_VALUE"""),"2ºPav.")</f>
        <v>2ºPav.</v>
      </c>
      <c r="C14" s="108" t="str">
        <f>IFERROR(__xludf.DUMMYFUNCTION("""COMPUTED_VALUE"""),"Consultório Psicologia")</f>
        <v>Consultório Psicologia</v>
      </c>
      <c r="D14" s="108" t="str">
        <f>IFERROR(__xludf.DUMMYFUNCTION("""COMPUTED_VALUE"""),"2ºPav.")</f>
        <v>2ºPav.</v>
      </c>
      <c r="E14" s="108" t="str">
        <f>IFERROR(__xludf.DUMMYFUNCTION("""COMPUTED_VALUE"""),"A")</f>
        <v>A</v>
      </c>
      <c r="F14" s="108"/>
      <c r="G14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3892f26f5af946c1b01851f8081432ae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3892f26f5af946c1b01851f8081432ae&amp;showComments=1&amp;guid=6882be48-6626-5238-d3df-94e9f0a0019d</v>
      </c>
      <c r="H14" s="108" t="str">
        <f>IFERROR(__xludf.DUMMYFUNCTION("""COMPUTED_VALUE"""),"Consultório")</f>
        <v>Consultório</v>
      </c>
      <c r="I14" s="108"/>
      <c r="J14" s="108"/>
    </row>
    <row r="15">
      <c r="A15" s="109" t="str">
        <f>IFERROR(__xludf.DUMMYFUNCTION("""COMPUTED_VALUE"""),"2ºPav.-Copa")</f>
        <v>2ºPav.-Copa</v>
      </c>
      <c r="B15" s="108" t="str">
        <f>IFERROR(__xludf.DUMMYFUNCTION("""COMPUTED_VALUE"""),"2ºPav.")</f>
        <v>2ºPav.</v>
      </c>
      <c r="C15" s="108" t="str">
        <f>IFERROR(__xludf.DUMMYFUNCTION("""COMPUTED_VALUE"""),"Copa")</f>
        <v>Copa</v>
      </c>
      <c r="D15" s="108" t="str">
        <f>IFERROR(__xludf.DUMMYFUNCTION("""COMPUTED_VALUE"""),"2ºPav.")</f>
        <v>2ºPav.</v>
      </c>
      <c r="E15" s="108" t="str">
        <f>IFERROR(__xludf.DUMMYFUNCTION("""COMPUTED_VALUE"""),"B")</f>
        <v>B</v>
      </c>
      <c r="F15" s="108"/>
      <c r="G15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c4957477c6284c6bae3310116d667428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c4957477c6284c6bae3310116d667428&amp;showComments=1&amp;guid=6882be48-6626-5238-d3df-94e9f0a0019d</v>
      </c>
      <c r="H15" s="108" t="str">
        <f>IFERROR(__xludf.DUMMYFUNCTION("""COMPUTED_VALUE"""),"Copa")</f>
        <v>Copa</v>
      </c>
      <c r="I15" s="108"/>
      <c r="J15" s="108"/>
    </row>
    <row r="16">
      <c r="A16" s="109" t="str">
        <f>IFERROR(__xludf.DUMMYFUNCTION("""COMPUTED_VALUE"""),"2ºPav.-Copa Funcionários")</f>
        <v>2ºPav.-Copa Funcionários</v>
      </c>
      <c r="B16" s="108" t="str">
        <f>IFERROR(__xludf.DUMMYFUNCTION("""COMPUTED_VALUE"""),"2ºPav.")</f>
        <v>2ºPav.</v>
      </c>
      <c r="C16" s="108" t="str">
        <f>IFERROR(__xludf.DUMMYFUNCTION("""COMPUTED_VALUE"""),"Copa Funcionários")</f>
        <v>Copa Funcionários</v>
      </c>
      <c r="D16" s="108" t="str">
        <f>IFERROR(__xludf.DUMMYFUNCTION("""COMPUTED_VALUE"""),"2ºPav.")</f>
        <v>2ºPav.</v>
      </c>
      <c r="E16" s="108" t="str">
        <f>IFERROR(__xludf.DUMMYFUNCTION("""COMPUTED_VALUE"""),"A")</f>
        <v>A</v>
      </c>
      <c r="F16" s="108"/>
      <c r="G16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e13102bdbe6d42b78d5880435c850464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e13102bdbe6d42b78d5880435c850464&amp;showComments=1&amp;guid=6882be48-6626-5238-d3df-94e9f0a0019d</v>
      </c>
      <c r="H16" s="108" t="str">
        <f>IFERROR(__xludf.DUMMYFUNCTION("""COMPUTED_VALUE"""),"Copa")</f>
        <v>Copa</v>
      </c>
      <c r="I16" s="108"/>
      <c r="J16" s="108"/>
    </row>
    <row r="17">
      <c r="A17" s="109" t="str">
        <f>IFERROR(__xludf.DUMMYFUNCTION("""COMPUTED_VALUE"""),"2ºPav.-Corredor Central Setor A")</f>
        <v>2ºPav.-Corredor Central Setor A</v>
      </c>
      <c r="B17" s="108" t="str">
        <f>IFERROR(__xludf.DUMMYFUNCTION("""COMPUTED_VALUE"""),"2ºPav.")</f>
        <v>2ºPav.</v>
      </c>
      <c r="C17" s="108" t="str">
        <f>IFERROR(__xludf.DUMMYFUNCTION("""COMPUTED_VALUE"""),"Corredor Central Setor A")</f>
        <v>Corredor Central Setor A</v>
      </c>
      <c r="D17" s="108" t="str">
        <f>IFERROR(__xludf.DUMMYFUNCTION("""COMPUTED_VALUE"""),"2ºPav.")</f>
        <v>2ºPav.</v>
      </c>
      <c r="E17" s="108" t="str">
        <f>IFERROR(__xludf.DUMMYFUNCTION("""COMPUTED_VALUE"""),"A")</f>
        <v>A</v>
      </c>
      <c r="F17" s="108">
        <f>IFERROR(__xludf.DUMMYFUNCTION("""COMPUTED_VALUE"""),63.0)</f>
        <v>63</v>
      </c>
      <c r="G17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05a9839aff294e7d9284043d76be4cba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05a9839aff294e7d9284043d76be4cba&amp;showComments=1&amp;guid=6882be48-6626-5238-d3df-94e9f0a0019d</v>
      </c>
      <c r="H17" s="108" t="str">
        <f>IFERROR(__xludf.DUMMYFUNCTION("""COMPUTED_VALUE"""),"Circulação / Corredores")</f>
        <v>Circulação / Corredores</v>
      </c>
      <c r="I17" s="109" t="str">
        <f>IFERROR(__xludf.DUMMYFUNCTION("""COMPUTED_VALUE"""),"https://photos.google.com/search/2%C2%BAPav.-Corredor%20Central%20Setor%20A")</f>
        <v>https://photos.google.com/search/2%C2%BAPav.-Corredor%20Central%20Setor%20A</v>
      </c>
      <c r="J17" s="108"/>
    </row>
    <row r="18">
      <c r="A18" s="109" t="str">
        <f>IFERROR(__xludf.DUMMYFUNCTION("""COMPUTED_VALUE"""),"2ºPav.-Corredor Central Setor B")</f>
        <v>2ºPav.-Corredor Central Setor B</v>
      </c>
      <c r="B18" s="108" t="str">
        <f>IFERROR(__xludf.DUMMYFUNCTION("""COMPUTED_VALUE"""),"2ºPav.")</f>
        <v>2ºPav.</v>
      </c>
      <c r="C18" s="108" t="str">
        <f>IFERROR(__xludf.DUMMYFUNCTION("""COMPUTED_VALUE"""),"Corredor Central Setor B")</f>
        <v>Corredor Central Setor B</v>
      </c>
      <c r="D18" s="108" t="str">
        <f>IFERROR(__xludf.DUMMYFUNCTION("""COMPUTED_VALUE"""),"2ºPav.")</f>
        <v>2ºPav.</v>
      </c>
      <c r="E18" s="108" t="str">
        <f>IFERROR(__xludf.DUMMYFUNCTION("""COMPUTED_VALUE"""),"B")</f>
        <v>B</v>
      </c>
      <c r="F18" s="108">
        <f>IFERROR(__xludf.DUMMYFUNCTION("""COMPUTED_VALUE"""),64.0)</f>
        <v>64</v>
      </c>
      <c r="G18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1882645c37d747daaaa888df63f31ddd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1882645c37d747daaaa888df63f31ddd&amp;showComments=1&amp;guid=6882be48-6626-5238-d3df-94e9f0a0019d</v>
      </c>
      <c r="H18" s="108" t="str">
        <f>IFERROR(__xludf.DUMMYFUNCTION("""COMPUTED_VALUE"""),"Circulação / Corredores")</f>
        <v>Circulação / Corredores</v>
      </c>
      <c r="I18" s="109" t="str">
        <f>IFERROR(__xludf.DUMMYFUNCTION("""COMPUTED_VALUE"""),"https://photos.google.com/search/2%C2%BAPav.-Corredor%20Central%20Setor%20B")</f>
        <v>https://photos.google.com/search/2%C2%BAPav.-Corredor%20Central%20Setor%20B</v>
      </c>
      <c r="J18" s="108"/>
    </row>
    <row r="19">
      <c r="A19" s="109" t="str">
        <f>IFERROR(__xludf.DUMMYFUNCTION("""COMPUTED_VALUE"""),"2ºPav.-Corredor Circulação FME")</f>
        <v>2ºPav.-Corredor Circulação FME</v>
      </c>
      <c r="B19" s="108" t="str">
        <f>IFERROR(__xludf.DUMMYFUNCTION("""COMPUTED_VALUE"""),"2ºPav.")</f>
        <v>2ºPav.</v>
      </c>
      <c r="C19" s="108" t="str">
        <f>IFERROR(__xludf.DUMMYFUNCTION("""COMPUTED_VALUE"""),"Corredor Circulação FME")</f>
        <v>Corredor Circulação FME</v>
      </c>
      <c r="D19" s="108" t="str">
        <f>IFERROR(__xludf.DUMMYFUNCTION("""COMPUTED_VALUE"""),"2ºPav.")</f>
        <v>2ºPav.</v>
      </c>
      <c r="E19" s="108" t="str">
        <f>IFERROR(__xludf.DUMMYFUNCTION("""COMPUTED_VALUE"""),"A")</f>
        <v>A</v>
      </c>
      <c r="F19" s="108">
        <f>IFERROR(__xludf.DUMMYFUNCTION("""COMPUTED_VALUE"""),53.0)</f>
        <v>53</v>
      </c>
      <c r="G19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40a82da47b2a42b3abfcf0cd35df5b10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40a82da47b2a42b3abfcf0cd35df5b10&amp;showComments=1&amp;guid=6882be48-6626-5238-d3df-94e9f0a0019d</v>
      </c>
      <c r="H19" s="108" t="str">
        <f>IFERROR(__xludf.DUMMYFUNCTION("""COMPUTED_VALUE"""),"Circulação / Corredores")</f>
        <v>Circulação / Corredores</v>
      </c>
      <c r="I19" s="108"/>
      <c r="J19" s="108"/>
    </row>
    <row r="20">
      <c r="A20" s="109" t="str">
        <f>IFERROR(__xludf.DUMMYFUNCTION("""COMPUTED_VALUE"""),"2ºPav.-Depósito")</f>
        <v>2ºPav.-Depósito</v>
      </c>
      <c r="B20" s="108" t="str">
        <f>IFERROR(__xludf.DUMMYFUNCTION("""COMPUTED_VALUE"""),"2ºPav.")</f>
        <v>2ºPav.</v>
      </c>
      <c r="C20" s="108" t="str">
        <f>IFERROR(__xludf.DUMMYFUNCTION("""COMPUTED_VALUE"""),"Depósito")</f>
        <v>Depósito</v>
      </c>
      <c r="D20" s="108" t="str">
        <f>IFERROR(__xludf.DUMMYFUNCTION("""COMPUTED_VALUE"""),"2ºPav.")</f>
        <v>2ºPav.</v>
      </c>
      <c r="E20" s="108" t="str">
        <f>IFERROR(__xludf.DUMMYFUNCTION("""COMPUTED_VALUE"""),"A")</f>
        <v>A</v>
      </c>
      <c r="F20" s="108"/>
      <c r="G20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5f734b3fb3c045cfbd41782be16b890d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5f734b3fb3c045cfbd41782be16b890d&amp;showComments=1&amp;guid=6882be48-6626-5238-d3df-94e9f0a0019d</v>
      </c>
      <c r="H20" s="108" t="str">
        <f>IFERROR(__xludf.DUMMYFUNCTION("""COMPUTED_VALUE"""),"Depósito")</f>
        <v>Depósito</v>
      </c>
      <c r="I20" s="108"/>
      <c r="J20" s="108"/>
    </row>
    <row r="21">
      <c r="A21" s="109" t="str">
        <f>IFERROR(__xludf.DUMMYFUNCTION("""COMPUTED_VALUE"""),"2ºPav.-Depósito de Materiais e Equipamentos")</f>
        <v>2ºPav.-Depósito de Materiais e Equipamentos</v>
      </c>
      <c r="B21" s="108" t="str">
        <f>IFERROR(__xludf.DUMMYFUNCTION("""COMPUTED_VALUE"""),"2ºPav.")</f>
        <v>2ºPav.</v>
      </c>
      <c r="C21" s="108" t="str">
        <f>IFERROR(__xludf.DUMMYFUNCTION("""COMPUTED_VALUE"""),"Depósito de Materiais e Equipamentos")</f>
        <v>Depósito de Materiais e Equipamentos</v>
      </c>
      <c r="D21" s="108" t="str">
        <f>IFERROR(__xludf.DUMMYFUNCTION("""COMPUTED_VALUE"""),"2ºPav.")</f>
        <v>2ºPav.</v>
      </c>
      <c r="E21" s="108" t="str">
        <f>IFERROR(__xludf.DUMMYFUNCTION("""COMPUTED_VALUE"""),"A")</f>
        <v>A</v>
      </c>
      <c r="F21" s="108"/>
      <c r="G21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cb61c77dd9914ef8afa1fba960bb0f25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cb61c77dd9914ef8afa1fba960bb0f25&amp;showComments=1&amp;guid=6882be48-6626-5238-d3df-94e9f0a0019d</v>
      </c>
      <c r="H21" s="108" t="str">
        <f>IFERROR(__xludf.DUMMYFUNCTION("""COMPUTED_VALUE"""),"Depósito")</f>
        <v>Depósito</v>
      </c>
      <c r="I21" s="108"/>
      <c r="J21" s="108"/>
    </row>
    <row r="22">
      <c r="A22" s="109" t="str">
        <f>IFERROR(__xludf.DUMMYFUNCTION("""COMPUTED_VALUE"""),"2ºPav.-Depósito Temporário Resíduos")</f>
        <v>2ºPav.-Depósito Temporário Resíduos</v>
      </c>
      <c r="B22" s="108" t="str">
        <f>IFERROR(__xludf.DUMMYFUNCTION("""COMPUTED_VALUE"""),"2ºPav.")</f>
        <v>2ºPav.</v>
      </c>
      <c r="C22" s="108" t="str">
        <f>IFERROR(__xludf.DUMMYFUNCTION("""COMPUTED_VALUE"""),"Depósito Temporário Resíduos")</f>
        <v>Depósito Temporário Resíduos</v>
      </c>
      <c r="D22" s="108" t="str">
        <f>IFERROR(__xludf.DUMMYFUNCTION("""COMPUTED_VALUE"""),"2ºPav.")</f>
        <v>2ºPav.</v>
      </c>
      <c r="E22" s="108" t="str">
        <f>IFERROR(__xludf.DUMMYFUNCTION("""COMPUTED_VALUE"""),"A")</f>
        <v>A</v>
      </c>
      <c r="F22" s="108"/>
      <c r="G22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c38f19a6d2a44a469798a0c4f722223d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c38f19a6d2a44a469798a0c4f722223d&amp;showComments=1&amp;guid=6882be48-6626-5238-d3df-94e9f0a0019d</v>
      </c>
      <c r="H22" s="108" t="str">
        <f>IFERROR(__xludf.DUMMYFUNCTION("""COMPUTED_VALUE"""),"Outros")</f>
        <v>Outros</v>
      </c>
      <c r="I22" s="108"/>
      <c r="J22" s="108"/>
    </row>
    <row r="23">
      <c r="A23" s="109" t="str">
        <f>IFERROR(__xludf.DUMMYFUNCTION("""COMPUTED_VALUE"""),"2ºPav.-DML")</f>
        <v>2ºPav.-DML</v>
      </c>
      <c r="B23" s="108" t="str">
        <f>IFERROR(__xludf.DUMMYFUNCTION("""COMPUTED_VALUE"""),"2ºPav.")</f>
        <v>2ºPav.</v>
      </c>
      <c r="C23" s="108" t="str">
        <f>IFERROR(__xludf.DUMMYFUNCTION("""COMPUTED_VALUE"""),"DML")</f>
        <v>DML</v>
      </c>
      <c r="D23" s="108" t="str">
        <f>IFERROR(__xludf.DUMMYFUNCTION("""COMPUTED_VALUE"""),"2ºPav.")</f>
        <v>2ºPav.</v>
      </c>
      <c r="E23" s="108" t="str">
        <f>IFERROR(__xludf.DUMMYFUNCTION("""COMPUTED_VALUE"""),"B")</f>
        <v>B</v>
      </c>
      <c r="F23" s="108"/>
      <c r="G23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84dfa0a6de464e138a15cfaf611ecaba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84dfa0a6de464e138a15cfaf611ecaba&amp;showComments=1&amp;guid=6882be48-6626-5238-d3df-94e9f0a0019d</v>
      </c>
      <c r="H23" s="108" t="str">
        <f>IFERROR(__xludf.DUMMYFUNCTION("""COMPUTED_VALUE"""),"Outros")</f>
        <v>Outros</v>
      </c>
      <c r="I23" s="108"/>
      <c r="J23" s="108"/>
    </row>
    <row r="24">
      <c r="A24" s="109" t="str">
        <f>IFERROR(__xludf.DUMMYFUNCTION("""COMPUTED_VALUE"""),"2ºPav.-Escada Prova de Fogo Setor B")</f>
        <v>2ºPav.-Escada Prova de Fogo Setor B</v>
      </c>
      <c r="B24" s="108" t="str">
        <f>IFERROR(__xludf.DUMMYFUNCTION("""COMPUTED_VALUE"""),"2ºPav.")</f>
        <v>2ºPav.</v>
      </c>
      <c r="C24" s="108" t="str">
        <f>IFERROR(__xludf.DUMMYFUNCTION("""COMPUTED_VALUE"""),"Escada Prova de Fogo Setor B")</f>
        <v>Escada Prova de Fogo Setor B</v>
      </c>
      <c r="D24" s="108" t="str">
        <f>IFERROR(__xludf.DUMMYFUNCTION("""COMPUTED_VALUE"""),"2ºPav.")</f>
        <v>2ºPav.</v>
      </c>
      <c r="E24" s="108" t="str">
        <f>IFERROR(__xludf.DUMMYFUNCTION("""COMPUTED_VALUE"""),"B")</f>
        <v>B</v>
      </c>
      <c r="F24" s="108">
        <f>IFERROR(__xludf.DUMMYFUNCTION("""COMPUTED_VALUE"""),67.0)</f>
        <v>67</v>
      </c>
      <c r="G24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e19ad5dfb0924c6cb3f6176ce8f6b140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e19ad5dfb0924c6cb3f6176ce8f6b140&amp;showComments=1&amp;guid=6882be48-6626-5238-d3df-94e9f0a0019d</v>
      </c>
      <c r="H24" s="108" t="str">
        <f>IFERROR(__xludf.DUMMYFUNCTION("""COMPUTED_VALUE"""),"Escadas")</f>
        <v>Escadas</v>
      </c>
      <c r="I24" s="108"/>
      <c r="J24" s="108"/>
    </row>
    <row r="25">
      <c r="A25" s="109" t="str">
        <f>IFERROR(__xludf.DUMMYFUNCTION("""COMPUTED_VALUE"""),"2ºPav.-Guichê Atendimento FME")</f>
        <v>2ºPav.-Guichê Atendimento FME</v>
      </c>
      <c r="B25" s="108" t="str">
        <f>IFERROR(__xludf.DUMMYFUNCTION("""COMPUTED_VALUE"""),"2ºPav.")</f>
        <v>2ºPav.</v>
      </c>
      <c r="C25" s="108" t="str">
        <f>IFERROR(__xludf.DUMMYFUNCTION("""COMPUTED_VALUE"""),"Guichê Atendimento FME")</f>
        <v>Guichê Atendimento FME</v>
      </c>
      <c r="D25" s="108" t="str">
        <f>IFERROR(__xludf.DUMMYFUNCTION("""COMPUTED_VALUE"""),"2ºPav.")</f>
        <v>2ºPav.</v>
      </c>
      <c r="E25" s="108" t="str">
        <f>IFERROR(__xludf.DUMMYFUNCTION("""COMPUTED_VALUE"""),"A")</f>
        <v>A</v>
      </c>
      <c r="F25" s="108"/>
      <c r="G25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662dfb8b50964380b3c7f176498ded32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662dfb8b50964380b3c7f176498ded32&amp;showComments=1&amp;guid=6882be48-6626-5238-d3df-94e9f0a0019d</v>
      </c>
      <c r="H25" s="108" t="str">
        <f>IFERROR(__xludf.DUMMYFUNCTION("""COMPUTED_VALUE"""),"Outros")</f>
        <v>Outros</v>
      </c>
      <c r="I25" s="109" t="str">
        <f>IFERROR(__xludf.DUMMYFUNCTION("""COMPUTED_VALUE"""),"https://photos.google.com/search/2%C2%BAPav.-Guich%C3%AA%20Atendimento%20FME")</f>
        <v>https://photos.google.com/search/2%C2%BAPav.-Guich%C3%AA%20Atendimento%20FME</v>
      </c>
      <c r="J25" s="108"/>
    </row>
    <row r="26">
      <c r="A26" s="109" t="str">
        <f>IFERROR(__xludf.DUMMYFUNCTION("""COMPUTED_VALUE"""),"2ºPav.-Hall Elevador Público")</f>
        <v>2ºPav.-Hall Elevador Público</v>
      </c>
      <c r="B26" s="108" t="str">
        <f>IFERROR(__xludf.DUMMYFUNCTION("""COMPUTED_VALUE"""),"2ºPav.")</f>
        <v>2ºPav.</v>
      </c>
      <c r="C26" s="108" t="str">
        <f>IFERROR(__xludf.DUMMYFUNCTION("""COMPUTED_VALUE"""),"Hall Elevador Público")</f>
        <v>Hall Elevador Público</v>
      </c>
      <c r="D26" s="108" t="str">
        <f>IFERROR(__xludf.DUMMYFUNCTION("""COMPUTED_VALUE"""),"2ºPav.")</f>
        <v>2ºPav.</v>
      </c>
      <c r="E26" s="108" t="str">
        <f>IFERROR(__xludf.DUMMYFUNCTION("""COMPUTED_VALUE"""),"A")</f>
        <v>A</v>
      </c>
      <c r="F26" s="108">
        <f>IFERROR(__xludf.DUMMYFUNCTION("""COMPUTED_VALUE"""),62.0)</f>
        <v>62</v>
      </c>
      <c r="G26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5884c287db9648b39443a155542fd8c5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5884c287db9648b39443a155542fd8c5&amp;showComments=1&amp;guid=6882be48-6626-5238-d3df-94e9f0a0019d</v>
      </c>
      <c r="H26" s="108" t="str">
        <f>IFERROR(__xludf.DUMMYFUNCTION("""COMPUTED_VALUE"""),"Circulação / Corredores")</f>
        <v>Circulação / Corredores</v>
      </c>
      <c r="I26" s="109" t="str">
        <f>IFERROR(__xludf.DUMMYFUNCTION("""COMPUTED_VALUE"""),"https://photos.google.com/search/2%C2%BAPav.-Hall%20Elevador%20P%C3%BAblico")</f>
        <v>https://photos.google.com/search/2%C2%BAPav.-Hall%20Elevador%20P%C3%BAblico</v>
      </c>
      <c r="J26" s="108"/>
    </row>
    <row r="27">
      <c r="A27" s="109" t="str">
        <f>IFERROR(__xludf.DUMMYFUNCTION("""COMPUTED_VALUE"""),"2ºPav.-Hall Elevador Serviço")</f>
        <v>2ºPav.-Hall Elevador Serviço</v>
      </c>
      <c r="B27" s="108" t="str">
        <f>IFERROR(__xludf.DUMMYFUNCTION("""COMPUTED_VALUE"""),"2ºPav.")</f>
        <v>2ºPav.</v>
      </c>
      <c r="C27" s="108" t="str">
        <f>IFERROR(__xludf.DUMMYFUNCTION("""COMPUTED_VALUE"""),"Hall Elevador Serviço")</f>
        <v>Hall Elevador Serviço</v>
      </c>
      <c r="D27" s="108" t="str">
        <f>IFERROR(__xludf.DUMMYFUNCTION("""COMPUTED_VALUE"""),"2ºPav.")</f>
        <v>2ºPav.</v>
      </c>
      <c r="E27" s="108" t="str">
        <f>IFERROR(__xludf.DUMMYFUNCTION("""COMPUTED_VALUE"""),"B")</f>
        <v>B</v>
      </c>
      <c r="F27" s="108">
        <f>IFERROR(__xludf.DUMMYFUNCTION("""COMPUTED_VALUE"""),60.0)</f>
        <v>60</v>
      </c>
      <c r="G27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ae4a173d9b514e4db71c242795dce105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ae4a173d9b514e4db71c242795dce105&amp;showComments=1&amp;guid=6882be48-6626-5238-d3df-94e9f0a0019d</v>
      </c>
      <c r="H27" s="108" t="str">
        <f>IFERROR(__xludf.DUMMYFUNCTION("""COMPUTED_VALUE"""),"Circulação / Corredores")</f>
        <v>Circulação / Corredores</v>
      </c>
      <c r="I27" s="109" t="str">
        <f>IFERROR(__xludf.DUMMYFUNCTION("""COMPUTED_VALUE"""),"https://photos.google.com/search/2%C2%BAPav.-Hall%20Elevador%20Servi%C3%A7o")</f>
        <v>https://photos.google.com/search/2%C2%BAPav.-Hall%20Elevador%20Servi%C3%A7o</v>
      </c>
      <c r="J27" s="108"/>
    </row>
    <row r="28">
      <c r="A28" s="109" t="str">
        <f>IFERROR(__xludf.DUMMYFUNCTION("""COMPUTED_VALUE"""),"2ºPav.-Lava Olhos e Chuveiro Emergência")</f>
        <v>2ºPav.-Lava Olhos e Chuveiro Emergência</v>
      </c>
      <c r="B28" s="108" t="str">
        <f>IFERROR(__xludf.DUMMYFUNCTION("""COMPUTED_VALUE"""),"2ºPav.")</f>
        <v>2ºPav.</v>
      </c>
      <c r="C28" s="108" t="str">
        <f>IFERROR(__xludf.DUMMYFUNCTION("""COMPUTED_VALUE"""),"Lava Olhos e Chuveiro Emergência")</f>
        <v>Lava Olhos e Chuveiro Emergência</v>
      </c>
      <c r="D28" s="108" t="str">
        <f>IFERROR(__xludf.DUMMYFUNCTION("""COMPUTED_VALUE"""),"2ºPav.")</f>
        <v>2ºPav.</v>
      </c>
      <c r="E28" s="108" t="str">
        <f>IFERROR(__xludf.DUMMYFUNCTION("""COMPUTED_VALUE"""),"A")</f>
        <v>A</v>
      </c>
      <c r="F28" s="108"/>
      <c r="G28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5f734b3fb3c045cfbd41782be16b890d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5f734b3fb3c045cfbd41782be16b890d&amp;showComments=1&amp;guid=6882be48-6626-5238-d3df-94e9f0a0019d</v>
      </c>
      <c r="H28" s="108" t="str">
        <f>IFERROR(__xludf.DUMMYFUNCTION("""COMPUTED_VALUE"""),"Outros")</f>
        <v>Outros</v>
      </c>
      <c r="I28" s="108"/>
      <c r="J28" s="108"/>
    </row>
    <row r="29">
      <c r="A29" s="109" t="str">
        <f>IFERROR(__xludf.DUMMYFUNCTION("""COMPUTED_VALUE"""),"2ºPav.-Posto Enfermagem 1")</f>
        <v>2ºPav.-Posto Enfermagem 1</v>
      </c>
      <c r="B29" s="108" t="str">
        <f>IFERROR(__xludf.DUMMYFUNCTION("""COMPUTED_VALUE"""),"2ºPav.")</f>
        <v>2ºPav.</v>
      </c>
      <c r="C29" s="108" t="str">
        <f>IFERROR(__xludf.DUMMYFUNCTION("""COMPUTED_VALUE"""),"Posto Enfermagem 1")</f>
        <v>Posto Enfermagem 1</v>
      </c>
      <c r="D29" s="108" t="str">
        <f>IFERROR(__xludf.DUMMYFUNCTION("""COMPUTED_VALUE"""),"2ºPav.")</f>
        <v>2ºPav.</v>
      </c>
      <c r="E29" s="108" t="str">
        <f>IFERROR(__xludf.DUMMYFUNCTION("""COMPUTED_VALUE"""),"A")</f>
        <v>A</v>
      </c>
      <c r="F29" s="108"/>
      <c r="G29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ad8076572aaf4dac9c8c5f39182c9f62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ad8076572aaf4dac9c8c5f39182c9f62&amp;showComments=1&amp;guid=6882be48-6626-5238-d3df-94e9f0a0019d</v>
      </c>
      <c r="H29" s="108" t="str">
        <f>IFERROR(__xludf.DUMMYFUNCTION("""COMPUTED_VALUE"""),"Posto Enfermagem")</f>
        <v>Posto Enfermagem</v>
      </c>
      <c r="I29" s="108"/>
      <c r="J29" s="108"/>
    </row>
    <row r="30">
      <c r="A30" s="109" t="str">
        <f>IFERROR(__xludf.DUMMYFUNCTION("""COMPUTED_VALUE"""),"2ºPav.-Posto Enfermagem 2")</f>
        <v>2ºPav.-Posto Enfermagem 2</v>
      </c>
      <c r="B30" s="108" t="str">
        <f>IFERROR(__xludf.DUMMYFUNCTION("""COMPUTED_VALUE"""),"2ºPav.")</f>
        <v>2ºPav.</v>
      </c>
      <c r="C30" s="108" t="str">
        <f>IFERROR(__xludf.DUMMYFUNCTION("""COMPUTED_VALUE"""),"Posto Enfermagem 2")</f>
        <v>Posto Enfermagem 2</v>
      </c>
      <c r="D30" s="108" t="str">
        <f>IFERROR(__xludf.DUMMYFUNCTION("""COMPUTED_VALUE"""),"2ºPav.")</f>
        <v>2ºPav.</v>
      </c>
      <c r="E30" s="108" t="str">
        <f>IFERROR(__xludf.DUMMYFUNCTION("""COMPUTED_VALUE"""),"A")</f>
        <v>A</v>
      </c>
      <c r="F30" s="108"/>
      <c r="G30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44c75d18dcca4ee091e205304633657b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44c75d18dcca4ee091e205304633657b&amp;showComments=1&amp;guid=6882be48-6626-5238-d3df-94e9f0a0019d</v>
      </c>
      <c r="H30" s="108" t="str">
        <f>IFERROR(__xludf.DUMMYFUNCTION("""COMPUTED_VALUE"""),"Posto Enfermagem")</f>
        <v>Posto Enfermagem</v>
      </c>
      <c r="I30" s="108"/>
      <c r="J30" s="108"/>
    </row>
    <row r="31">
      <c r="A31" s="109" t="str">
        <f>IFERROR(__xludf.DUMMYFUNCTION("""COMPUTED_VALUE"""),"2ºPav.-Posto Enfermagem 3")</f>
        <v>2ºPav.-Posto Enfermagem 3</v>
      </c>
      <c r="B31" s="108" t="str">
        <f>IFERROR(__xludf.DUMMYFUNCTION("""COMPUTED_VALUE"""),"2ºPav.")</f>
        <v>2ºPav.</v>
      </c>
      <c r="C31" s="108" t="str">
        <f>IFERROR(__xludf.DUMMYFUNCTION("""COMPUTED_VALUE"""),"Posto Enfermagem 3")</f>
        <v>Posto Enfermagem 3</v>
      </c>
      <c r="D31" s="108" t="str">
        <f>IFERROR(__xludf.DUMMYFUNCTION("""COMPUTED_VALUE"""),"2ºPav.")</f>
        <v>2ºPav.</v>
      </c>
      <c r="E31" s="108" t="str">
        <f>IFERROR(__xludf.DUMMYFUNCTION("""COMPUTED_VALUE"""),"A")</f>
        <v>A</v>
      </c>
      <c r="F31" s="108"/>
      <c r="G31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c81af5444cde406aa9a9368d744a0b04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c81af5444cde406aa9a9368d744a0b04&amp;showComments=1&amp;guid=6882be48-6626-5238-d3df-94e9f0a0019d</v>
      </c>
      <c r="H31" s="108" t="str">
        <f>IFERROR(__xludf.DUMMYFUNCTION("""COMPUTED_VALUE"""),"Posto Enfermagem")</f>
        <v>Posto Enfermagem</v>
      </c>
      <c r="I31" s="108"/>
      <c r="J31" s="108"/>
    </row>
    <row r="32">
      <c r="A32" s="109" t="str">
        <f>IFERROR(__xludf.DUMMYFUNCTION("""COMPUTED_VALUE"""),"2ºPav.-Posto Enfermagem 4")</f>
        <v>2ºPav.-Posto Enfermagem 4</v>
      </c>
      <c r="B32" s="108" t="str">
        <f>IFERROR(__xludf.DUMMYFUNCTION("""COMPUTED_VALUE"""),"2ºPav.")</f>
        <v>2ºPav.</v>
      </c>
      <c r="C32" s="108" t="str">
        <f>IFERROR(__xludf.DUMMYFUNCTION("""COMPUTED_VALUE"""),"Posto Enfermagem 4")</f>
        <v>Posto Enfermagem 4</v>
      </c>
      <c r="D32" s="108" t="str">
        <f>IFERROR(__xludf.DUMMYFUNCTION("""COMPUTED_VALUE"""),"2ºPav.")</f>
        <v>2ºPav.</v>
      </c>
      <c r="E32" s="108" t="str">
        <f>IFERROR(__xludf.DUMMYFUNCTION("""COMPUTED_VALUE"""),"A")</f>
        <v>A</v>
      </c>
      <c r="F32" s="108"/>
      <c r="G32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3fefd035e0ef40d98be4f5e2b4c7952d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3fefd035e0ef40d98be4f5e2b4c7952d&amp;showComments=1&amp;guid=6882be48-6626-5238-d3df-94e9f0a0019d</v>
      </c>
      <c r="H32" s="108" t="str">
        <f>IFERROR(__xludf.DUMMYFUNCTION("""COMPUTED_VALUE"""),"Posto Enfermagem")</f>
        <v>Posto Enfermagem</v>
      </c>
      <c r="I32" s="108"/>
      <c r="J32" s="108"/>
    </row>
    <row r="33">
      <c r="A33" s="109" t="str">
        <f>IFERROR(__xludf.DUMMYFUNCTION("""COMPUTED_VALUE"""),"2ºPav.-Rouparia")</f>
        <v>2ºPav.-Rouparia</v>
      </c>
      <c r="B33" s="108" t="str">
        <f>IFERROR(__xludf.DUMMYFUNCTION("""COMPUTED_VALUE"""),"2ºPav.")</f>
        <v>2ºPav.</v>
      </c>
      <c r="C33" s="108" t="str">
        <f>IFERROR(__xludf.DUMMYFUNCTION("""COMPUTED_VALUE"""),"Rouparia")</f>
        <v>Rouparia</v>
      </c>
      <c r="D33" s="108" t="str">
        <f>IFERROR(__xludf.DUMMYFUNCTION("""COMPUTED_VALUE"""),"2ºPav.")</f>
        <v>2ºPav.</v>
      </c>
      <c r="E33" s="108" t="str">
        <f>IFERROR(__xludf.DUMMYFUNCTION("""COMPUTED_VALUE"""),"B")</f>
        <v>B</v>
      </c>
      <c r="F33" s="108"/>
      <c r="G33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877678911866412e9aecd36463dac6bb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877678911866412e9aecd36463dac6bb&amp;showComments=1&amp;guid=6882be48-6626-5238-d3df-94e9f0a0019d</v>
      </c>
      <c r="H33" s="108" t="str">
        <f>IFERROR(__xludf.DUMMYFUNCTION("""COMPUTED_VALUE"""),"Outros")</f>
        <v>Outros</v>
      </c>
      <c r="I33" s="108"/>
      <c r="J33" s="108"/>
    </row>
    <row r="34">
      <c r="A34" s="109" t="str">
        <f>IFERROR(__xludf.DUMMYFUNCTION("""COMPUTED_VALUE"""),"2ºPav.-Sala Aplicalção Quimioterápicos 01 (poltronas)")</f>
        <v>2ºPav.-Sala Aplicalção Quimioterápicos 01 (poltronas)</v>
      </c>
      <c r="B34" s="108" t="str">
        <f>IFERROR(__xludf.DUMMYFUNCTION("""COMPUTED_VALUE"""),"2ºPav.")</f>
        <v>2ºPav.</v>
      </c>
      <c r="C34" s="108" t="str">
        <f>IFERROR(__xludf.DUMMYFUNCTION("""COMPUTED_VALUE"""),"Sala Aplicalção Quimioterápicos 01 (poltronas)")</f>
        <v>Sala Aplicalção Quimioterápicos 01 (poltronas)</v>
      </c>
      <c r="D34" s="108" t="str">
        <f>IFERROR(__xludf.DUMMYFUNCTION("""COMPUTED_VALUE"""),"2ºPav.")</f>
        <v>2ºPav.</v>
      </c>
      <c r="E34" s="108" t="str">
        <f>IFERROR(__xludf.DUMMYFUNCTION("""COMPUTED_VALUE"""),"B")</f>
        <v>B</v>
      </c>
      <c r="F34" s="108"/>
      <c r="G34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8220e2cc5a4148e9a4cd822c05626d64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8220e2cc5a4148e9a4cd822c05626d64&amp;showComments=1&amp;guid=6882be48-6626-5238-d3df-94e9f0a0019d</v>
      </c>
      <c r="H34" s="108" t="str">
        <f>IFERROR(__xludf.DUMMYFUNCTION("""COMPUTED_VALUE"""),"Aplicação")</f>
        <v>Aplicação</v>
      </c>
      <c r="I34" s="108"/>
      <c r="J34" s="108"/>
    </row>
    <row r="35">
      <c r="A35" s="109" t="str">
        <f>IFERROR(__xludf.DUMMYFUNCTION("""COMPUTED_VALUE"""),"2ºPav.-Sala Aplicalção Quimioterápicos 02 (poltronas)")</f>
        <v>2ºPav.-Sala Aplicalção Quimioterápicos 02 (poltronas)</v>
      </c>
      <c r="B35" s="108" t="str">
        <f>IFERROR(__xludf.DUMMYFUNCTION("""COMPUTED_VALUE"""),"2ºPav.")</f>
        <v>2ºPav.</v>
      </c>
      <c r="C35" s="108" t="str">
        <f>IFERROR(__xludf.DUMMYFUNCTION("""COMPUTED_VALUE"""),"Sala Aplicalção Quimioterápicos 02 (poltronas)")</f>
        <v>Sala Aplicalção Quimioterápicos 02 (poltronas)</v>
      </c>
      <c r="D35" s="108" t="str">
        <f>IFERROR(__xludf.DUMMYFUNCTION("""COMPUTED_VALUE"""),"2ºPav.")</f>
        <v>2ºPav.</v>
      </c>
      <c r="E35" s="108" t="str">
        <f>IFERROR(__xludf.DUMMYFUNCTION("""COMPUTED_VALUE"""),"A")</f>
        <v>A</v>
      </c>
      <c r="F35" s="108"/>
      <c r="G35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eafcdbe8a6e74699aa7190fb060d4f9e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eafcdbe8a6e74699aa7190fb060d4f9e&amp;showComments=1&amp;guid=6882be48-6626-5238-d3df-94e9f0a0019d</v>
      </c>
      <c r="H35" s="108" t="str">
        <f>IFERROR(__xludf.DUMMYFUNCTION("""COMPUTED_VALUE"""),"Aplicação")</f>
        <v>Aplicação</v>
      </c>
      <c r="I35" s="108"/>
      <c r="J35" s="108"/>
    </row>
    <row r="36">
      <c r="A36" s="109" t="str">
        <f>IFERROR(__xludf.DUMMYFUNCTION("""COMPUTED_VALUE"""),"2ºPav.-Sala Aplicalção Quimioterápicos 03 (poltronas)")</f>
        <v>2ºPav.-Sala Aplicalção Quimioterápicos 03 (poltronas)</v>
      </c>
      <c r="B36" s="108" t="str">
        <f>IFERROR(__xludf.DUMMYFUNCTION("""COMPUTED_VALUE"""),"2ºPav.")</f>
        <v>2ºPav.</v>
      </c>
      <c r="C36" s="108" t="str">
        <f>IFERROR(__xludf.DUMMYFUNCTION("""COMPUTED_VALUE"""),"Sala Aplicalção Quimioterápicos 03 (poltronas)")</f>
        <v>Sala Aplicalção Quimioterápicos 03 (poltronas)</v>
      </c>
      <c r="D36" s="108" t="str">
        <f>IFERROR(__xludf.DUMMYFUNCTION("""COMPUTED_VALUE"""),"2ºPav.")</f>
        <v>2ºPav.</v>
      </c>
      <c r="E36" s="108" t="str">
        <f>IFERROR(__xludf.DUMMYFUNCTION("""COMPUTED_VALUE"""),"B")</f>
        <v>B</v>
      </c>
      <c r="F36" s="108"/>
      <c r="G36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703e3f21aace4a01b36f8cfa4070e01d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703e3f21aace4a01b36f8cfa4070e01d&amp;showComments=1&amp;guid=6882be48-6626-5238-d3df-94e9f0a0019d</v>
      </c>
      <c r="H36" s="108" t="str">
        <f>IFERROR(__xludf.DUMMYFUNCTION("""COMPUTED_VALUE"""),"Aplicação")</f>
        <v>Aplicação</v>
      </c>
      <c r="I36" s="108"/>
      <c r="J36" s="108"/>
    </row>
    <row r="37">
      <c r="A37" s="109" t="str">
        <f>IFERROR(__xludf.DUMMYFUNCTION("""COMPUTED_VALUE"""),"2ºPav.-Sala Aplicalção Quimioterápicos 04 (12 Leitos)")</f>
        <v>2ºPav.-Sala Aplicalção Quimioterápicos 04 (12 Leitos)</v>
      </c>
      <c r="B37" s="108" t="str">
        <f>IFERROR(__xludf.DUMMYFUNCTION("""COMPUTED_VALUE"""),"2ºPav.")</f>
        <v>2ºPav.</v>
      </c>
      <c r="C37" s="108" t="str">
        <f>IFERROR(__xludf.DUMMYFUNCTION("""COMPUTED_VALUE"""),"Sala Aplicalção Quimioterápicos 04 (12 Leitos)")</f>
        <v>Sala Aplicalção Quimioterápicos 04 (12 Leitos)</v>
      </c>
      <c r="D37" s="108" t="str">
        <f>IFERROR(__xludf.DUMMYFUNCTION("""COMPUTED_VALUE"""),"2ºPav.")</f>
        <v>2ºPav.</v>
      </c>
      <c r="E37" s="108" t="str">
        <f>IFERROR(__xludf.DUMMYFUNCTION("""COMPUTED_VALUE"""),"A")</f>
        <v>A</v>
      </c>
      <c r="F37" s="108"/>
      <c r="G37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5477d61e12434bf29eea80259e5ee95a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5477d61e12434bf29eea80259e5ee95a&amp;showComments=1&amp;guid=6882be48-6626-5238-d3df-94e9f0a0019d</v>
      </c>
      <c r="H37" s="108" t="str">
        <f>IFERROR(__xludf.DUMMYFUNCTION("""COMPUTED_VALUE"""),"Aplicação")</f>
        <v>Aplicação</v>
      </c>
      <c r="I37" s="108"/>
      <c r="J37" s="108"/>
    </row>
    <row r="38">
      <c r="A38" s="109" t="str">
        <f>IFERROR(__xludf.DUMMYFUNCTION("""COMPUTED_VALUE"""),"2ºPav.-Sala Ar Condicionado - CM2.1")</f>
        <v>2ºPav.-Sala Ar Condicionado - CM2.1</v>
      </c>
      <c r="B38" s="108" t="str">
        <f>IFERROR(__xludf.DUMMYFUNCTION("""COMPUTED_VALUE"""),"2ºPav.")</f>
        <v>2ºPav.</v>
      </c>
      <c r="C38" s="108" t="str">
        <f>IFERROR(__xludf.DUMMYFUNCTION("""COMPUTED_VALUE"""),"Sala Ar Condicionado - CM2.1")</f>
        <v>Sala Ar Condicionado - CM2.1</v>
      </c>
      <c r="D38" s="108" t="str">
        <f>IFERROR(__xludf.DUMMYFUNCTION("""COMPUTED_VALUE"""),"2ºPav.")</f>
        <v>2ºPav.</v>
      </c>
      <c r="E38" s="108" t="str">
        <f>IFERROR(__xludf.DUMMYFUNCTION("""COMPUTED_VALUE"""),"B")</f>
        <v>B</v>
      </c>
      <c r="F38" s="108">
        <f>IFERROR(__xludf.DUMMYFUNCTION("""COMPUTED_VALUE"""),57.0)</f>
        <v>57</v>
      </c>
      <c r="G38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786c183a90ed4e82987ad43f98e3f4f3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786c183a90ed4e82987ad43f98e3f4f3&amp;showComments=1&amp;guid=6882be48-6626-5238-d3df-94e9f0a0019d</v>
      </c>
      <c r="H38" s="108" t="str">
        <f>IFERROR(__xludf.DUMMYFUNCTION("""COMPUTED_VALUE"""),"Sala Máquina")</f>
        <v>Sala Máquina</v>
      </c>
      <c r="I38" s="109" t="str">
        <f>IFERROR(__xludf.DUMMYFUNCTION("""COMPUTED_VALUE"""),"https://photos.google.com/search/2%C2%BAPav.-Sala%20Ar%20Condicionado%20-%20CM2.1")</f>
        <v>https://photos.google.com/search/2%C2%BAPav.-Sala%20Ar%20Condicionado%20-%20CM2.1</v>
      </c>
      <c r="J38" s="108"/>
    </row>
    <row r="39">
      <c r="A39" s="109" t="str">
        <f>IFERROR(__xludf.DUMMYFUNCTION("""COMPUTED_VALUE"""),"2ºPav.-Sala Ar Condicionado - CM2.2")</f>
        <v>2ºPav.-Sala Ar Condicionado - CM2.2</v>
      </c>
      <c r="B39" s="108" t="str">
        <f>IFERROR(__xludf.DUMMYFUNCTION("""COMPUTED_VALUE"""),"2ºPav.")</f>
        <v>2ºPav.</v>
      </c>
      <c r="C39" s="108" t="str">
        <f>IFERROR(__xludf.DUMMYFUNCTION("""COMPUTED_VALUE"""),"Sala Ar Condicionado - CM2.2")</f>
        <v>Sala Ar Condicionado - CM2.2</v>
      </c>
      <c r="D39" s="108" t="str">
        <f>IFERROR(__xludf.DUMMYFUNCTION("""COMPUTED_VALUE"""),"2ºPav.")</f>
        <v>2ºPav.</v>
      </c>
      <c r="E39" s="108" t="str">
        <f>IFERROR(__xludf.DUMMYFUNCTION("""COMPUTED_VALUE"""),"B")</f>
        <v>B</v>
      </c>
      <c r="F39" s="108">
        <f>IFERROR(__xludf.DUMMYFUNCTION("""COMPUTED_VALUE"""),58.0)</f>
        <v>58</v>
      </c>
      <c r="G39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1be102112d9547c7b007556b7f51eee5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1be102112d9547c7b007556b7f51eee5&amp;showComments=1&amp;guid=6882be48-6626-5238-d3df-94e9f0a0019d</v>
      </c>
      <c r="H39" s="108" t="str">
        <f>IFERROR(__xludf.DUMMYFUNCTION("""COMPUTED_VALUE"""),"Sala Máquina")</f>
        <v>Sala Máquina</v>
      </c>
      <c r="I39" s="109" t="str">
        <f>IFERROR(__xludf.DUMMYFUNCTION("""COMPUTED_VALUE"""),"https://photos.google.com/search/2%C2%BAPav.-Sala%20Ar%20Condicionado%20-%20CM2.2")</f>
        <v>https://photos.google.com/search/2%C2%BAPav.-Sala%20Ar%20Condicionado%20-%20CM2.2</v>
      </c>
      <c r="J39" s="108"/>
    </row>
    <row r="40">
      <c r="A40" s="109" t="str">
        <f>IFERROR(__xludf.DUMMYFUNCTION("""COMPUTED_VALUE"""),"2ºPav.-Sala Ar Condicionado - CM2.3")</f>
        <v>2ºPav.-Sala Ar Condicionado - CM2.3</v>
      </c>
      <c r="B40" s="108" t="str">
        <f>IFERROR(__xludf.DUMMYFUNCTION("""COMPUTED_VALUE"""),"2ºPav.")</f>
        <v>2ºPav.</v>
      </c>
      <c r="C40" s="108" t="str">
        <f>IFERROR(__xludf.DUMMYFUNCTION("""COMPUTED_VALUE"""),"Sala Ar Condicionado - CM2.3")</f>
        <v>Sala Ar Condicionado - CM2.3</v>
      </c>
      <c r="D40" s="108" t="str">
        <f>IFERROR(__xludf.DUMMYFUNCTION("""COMPUTED_VALUE"""),"2ºPav.")</f>
        <v>2ºPav.</v>
      </c>
      <c r="E40" s="108" t="str">
        <f>IFERROR(__xludf.DUMMYFUNCTION("""COMPUTED_VALUE"""),"A")</f>
        <v>A</v>
      </c>
      <c r="F40" s="108">
        <f>IFERROR(__xludf.DUMMYFUNCTION("""COMPUTED_VALUE"""),56.0)</f>
        <v>56</v>
      </c>
      <c r="G40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1a69400125954ca6b40443e70a5785ee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1a69400125954ca6b40443e70a5785ee&amp;showComments=1&amp;guid=6882be48-6626-5238-d3df-94e9f0a0019d</v>
      </c>
      <c r="H40" s="108" t="str">
        <f>IFERROR(__xludf.DUMMYFUNCTION("""COMPUTED_VALUE"""),"Sala Máquina")</f>
        <v>Sala Máquina</v>
      </c>
      <c r="I40" s="109" t="str">
        <f>IFERROR(__xludf.DUMMYFUNCTION("""COMPUTED_VALUE"""),"https://photos.google.com/search/2%C2%BAPav.-Sala%20Ar%20Condicionado%20-%20CM2.3")</f>
        <v>https://photos.google.com/search/2%C2%BAPav.-Sala%20Ar%20Condicionado%20-%20CM2.3</v>
      </c>
      <c r="J40" s="108"/>
    </row>
    <row r="41">
      <c r="A41" s="109" t="str">
        <f>IFERROR(__xludf.DUMMYFUNCTION("""COMPUTED_VALUE"""),"2ºPav.-Sala de Coleta")</f>
        <v>2ºPav.-Sala de Coleta</v>
      </c>
      <c r="B41" s="108" t="str">
        <f>IFERROR(__xludf.DUMMYFUNCTION("""COMPUTED_VALUE"""),"2ºPav.")</f>
        <v>2ºPav.</v>
      </c>
      <c r="C41" s="108" t="str">
        <f>IFERROR(__xludf.DUMMYFUNCTION("""COMPUTED_VALUE"""),"Sala de Coleta")</f>
        <v>Sala de Coleta</v>
      </c>
      <c r="D41" s="108" t="str">
        <f>IFERROR(__xludf.DUMMYFUNCTION("""COMPUTED_VALUE"""),"2ºPav.")</f>
        <v>2ºPav.</v>
      </c>
      <c r="E41" s="108" t="str">
        <f>IFERROR(__xludf.DUMMYFUNCTION("""COMPUTED_VALUE"""),"A")</f>
        <v>A</v>
      </c>
      <c r="F41" s="108">
        <f>IFERROR(__xludf.DUMMYFUNCTION("""COMPUTED_VALUE"""),53.0)</f>
        <v>53</v>
      </c>
      <c r="G41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da9a66e0dff441009ea525dc99685e0f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da9a66e0dff441009ea525dc99685e0f&amp;showComments=1&amp;guid=6882be48-6626-5238-d3df-94e9f0a0019d</v>
      </c>
      <c r="H41" s="108" t="str">
        <f>IFERROR(__xludf.DUMMYFUNCTION("""COMPUTED_VALUE"""),"Outros")</f>
        <v>Outros</v>
      </c>
      <c r="I41" s="108"/>
      <c r="J41" s="108"/>
    </row>
    <row r="42">
      <c r="A42" s="109" t="str">
        <f>IFERROR(__xludf.DUMMYFUNCTION("""COMPUTED_VALUE"""),"2ºPav.-Sala de Duto - CM2.4")</f>
        <v>2ºPav.-Sala de Duto - CM2.4</v>
      </c>
      <c r="B42" s="108" t="str">
        <f>IFERROR(__xludf.DUMMYFUNCTION("""COMPUTED_VALUE"""),"2ºPav.")</f>
        <v>2ºPav.</v>
      </c>
      <c r="C42" s="108" t="str">
        <f>IFERROR(__xludf.DUMMYFUNCTION("""COMPUTED_VALUE"""),"Sala de Duto - CM2.4")</f>
        <v>Sala de Duto - CM2.4</v>
      </c>
      <c r="D42" s="108" t="str">
        <f>IFERROR(__xludf.DUMMYFUNCTION("""COMPUTED_VALUE"""),"2ºPav.")</f>
        <v>2ºPav.</v>
      </c>
      <c r="E42" s="108" t="str">
        <f>IFERROR(__xludf.DUMMYFUNCTION("""COMPUTED_VALUE"""),"B")</f>
        <v>B</v>
      </c>
      <c r="F42" s="108">
        <f>IFERROR(__xludf.DUMMYFUNCTION("""COMPUTED_VALUE"""),5.0)</f>
        <v>5</v>
      </c>
      <c r="G42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0086b26a3b714780af457cfa039d6d85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0086b26a3b714780af457cfa039d6d85&amp;showComments=1&amp;guid=6882be48-6626-5238-d3df-94e9f0a0019d</v>
      </c>
      <c r="H42" s="108" t="str">
        <f>IFERROR(__xludf.DUMMYFUNCTION("""COMPUTED_VALUE"""),"Sala Máquina")</f>
        <v>Sala Máquina</v>
      </c>
      <c r="I42" s="109" t="str">
        <f>IFERROR(__xludf.DUMMYFUNCTION("""COMPUTED_VALUE"""),"https://photos.google.com/search/2%C2%BAPav.-Sala%20de%20Duto%20-%20CM2.4")</f>
        <v>https://photos.google.com/search/2%C2%BAPav.-Sala%20de%20Duto%20-%20CM2.4</v>
      </c>
      <c r="J42" s="108"/>
    </row>
    <row r="43">
      <c r="A43" s="109" t="str">
        <f>IFERROR(__xludf.DUMMYFUNCTION("""COMPUTED_VALUE"""),"2ºPav.-Sala de Procedimentos")</f>
        <v>2ºPav.-Sala de Procedimentos</v>
      </c>
      <c r="B43" s="108" t="str">
        <f>IFERROR(__xludf.DUMMYFUNCTION("""COMPUTED_VALUE"""),"2ºPav.")</f>
        <v>2ºPav.</v>
      </c>
      <c r="C43" s="108" t="str">
        <f>IFERROR(__xludf.DUMMYFUNCTION("""COMPUTED_VALUE"""),"Sala de Procedimentos")</f>
        <v>Sala de Procedimentos</v>
      </c>
      <c r="D43" s="108" t="str">
        <f>IFERROR(__xludf.DUMMYFUNCTION("""COMPUTED_VALUE"""),"2ºPav.")</f>
        <v>2ºPav.</v>
      </c>
      <c r="E43" s="108" t="str">
        <f>IFERROR(__xludf.DUMMYFUNCTION("""COMPUTED_VALUE"""),"A")</f>
        <v>A</v>
      </c>
      <c r="F43" s="108">
        <f>IFERROR(__xludf.DUMMYFUNCTION("""COMPUTED_VALUE"""),66.0)</f>
        <v>66</v>
      </c>
      <c r="G43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8e76595fb45d4f6b89996f60c3ceb696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8e76595fb45d4f6b89996f60c3ceb696&amp;showComments=1&amp;guid=6882be48-6626-5238-d3df-94e9f0a0019d</v>
      </c>
      <c r="H43" s="108" t="str">
        <f>IFERROR(__xludf.DUMMYFUNCTION("""COMPUTED_VALUE"""),"Outros")</f>
        <v>Outros</v>
      </c>
      <c r="I43" s="108"/>
      <c r="J43" s="108"/>
    </row>
    <row r="44">
      <c r="A44" s="109" t="str">
        <f>IFERROR(__xludf.DUMMYFUNCTION("""COMPUTED_VALUE"""),"2ºPav.-Sala de Reuniões")</f>
        <v>2ºPav.-Sala de Reuniões</v>
      </c>
      <c r="B44" s="108" t="str">
        <f>IFERROR(__xludf.DUMMYFUNCTION("""COMPUTED_VALUE"""),"2ºPav.")</f>
        <v>2ºPav.</v>
      </c>
      <c r="C44" s="108" t="str">
        <f>IFERROR(__xludf.DUMMYFUNCTION("""COMPUTED_VALUE"""),"Sala de Reuniões")</f>
        <v>Sala de Reuniões</v>
      </c>
      <c r="D44" s="108" t="str">
        <f>IFERROR(__xludf.DUMMYFUNCTION("""COMPUTED_VALUE"""),"2ºPav.")</f>
        <v>2ºPav.</v>
      </c>
      <c r="E44" s="108" t="str">
        <f>IFERROR(__xludf.DUMMYFUNCTION("""COMPUTED_VALUE"""),"A")</f>
        <v>A</v>
      </c>
      <c r="F44" s="108"/>
      <c r="G44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24c0bdb37c184ba5b47fb606eee9c426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24c0bdb37c184ba5b47fb606eee9c426&amp;showComments=1&amp;guid=6882be48-6626-5238-d3df-94e9f0a0019d</v>
      </c>
      <c r="H44" s="108" t="str">
        <f>IFERROR(__xludf.DUMMYFUNCTION("""COMPUTED_VALUE"""),"Outros")</f>
        <v>Outros</v>
      </c>
      <c r="I44" s="109" t="str">
        <f>IFERROR(__xludf.DUMMYFUNCTION("""COMPUTED_VALUE"""),"https://photos.google.com/search/2%C2%BAPav.-Sala%20de%20Reuni%C3%B5es")</f>
        <v>https://photos.google.com/search/2%C2%BAPav.-Sala%20de%20Reuni%C3%B5es</v>
      </c>
      <c r="J44" s="108"/>
    </row>
    <row r="45">
      <c r="A45" s="109" t="str">
        <f>IFERROR(__xludf.DUMMYFUNCTION("""COMPUTED_VALUE"""),"2ºPav.-Sala de Utilidades")</f>
        <v>2ºPav.-Sala de Utilidades</v>
      </c>
      <c r="B45" s="108" t="str">
        <f>IFERROR(__xludf.DUMMYFUNCTION("""COMPUTED_VALUE"""),"2ºPav.")</f>
        <v>2ºPav.</v>
      </c>
      <c r="C45" s="108" t="str">
        <f>IFERROR(__xludf.DUMMYFUNCTION("""COMPUTED_VALUE"""),"Sala de Utilidades")</f>
        <v>Sala de Utilidades</v>
      </c>
      <c r="D45" s="108" t="str">
        <f>IFERROR(__xludf.DUMMYFUNCTION("""COMPUTED_VALUE"""),"2ºPav.")</f>
        <v>2ºPav.</v>
      </c>
      <c r="E45" s="108" t="str">
        <f>IFERROR(__xludf.DUMMYFUNCTION("""COMPUTED_VALUE"""),"B")</f>
        <v>B</v>
      </c>
      <c r="F45" s="108"/>
      <c r="G45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226c5d2ecd814695b969d78e600b7ea3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226c5d2ecd814695b969d78e600b7ea3&amp;showComments=1&amp;guid=6882be48-6626-5238-d3df-94e9f0a0019d</v>
      </c>
      <c r="H45" s="108" t="str">
        <f>IFERROR(__xludf.DUMMYFUNCTION("""COMPUTED_VALUE"""),"Outros")</f>
        <v>Outros</v>
      </c>
      <c r="I45" s="108"/>
      <c r="J45" s="108"/>
    </row>
    <row r="46">
      <c r="A46" s="109" t="str">
        <f>IFERROR(__xludf.DUMMYFUNCTION("""COMPUTED_VALUE"""),"2ºPav.-Sala Elétrica QDG2 - Rack CC - 03 - TI")</f>
        <v>2ºPav.-Sala Elétrica QDG2 - Rack CC - 03 - TI</v>
      </c>
      <c r="B46" s="108" t="str">
        <f>IFERROR(__xludf.DUMMYFUNCTION("""COMPUTED_VALUE"""),"2ºPav.")</f>
        <v>2ºPav.</v>
      </c>
      <c r="C46" s="108" t="str">
        <f>IFERROR(__xludf.DUMMYFUNCTION("""COMPUTED_VALUE"""),"Sala Elétrica QDG2 - Rack CC - 03 - TI")</f>
        <v>Sala Elétrica QDG2 - Rack CC - 03 - TI</v>
      </c>
      <c r="D46" s="108" t="str">
        <f>IFERROR(__xludf.DUMMYFUNCTION("""COMPUTED_VALUE"""),"2ºPav.")</f>
        <v>2ºPav.</v>
      </c>
      <c r="E46" s="108" t="str">
        <f>IFERROR(__xludf.DUMMYFUNCTION("""COMPUTED_VALUE"""),"B")</f>
        <v>B</v>
      </c>
      <c r="F46" s="108">
        <f>IFERROR(__xludf.DUMMYFUNCTION("""COMPUTED_VALUE"""),2.0)</f>
        <v>2</v>
      </c>
      <c r="G46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38de5a7eef1848e697e4843a379d27d8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38de5a7eef1848e697e4843a379d27d8&amp;showComments=1&amp;guid=6882be48-6626-5238-d3df-94e9f0a0019d</v>
      </c>
      <c r="H46" s="108" t="str">
        <f>IFERROR(__xludf.DUMMYFUNCTION("""COMPUTED_VALUE"""),"Sala Elétrica")</f>
        <v>Sala Elétrica</v>
      </c>
      <c r="I46" s="109" t="str">
        <f>IFERROR(__xludf.DUMMYFUNCTION("""COMPUTED_VALUE"""),"https://photos.google.com/search/2%C2%BAPav.-Sala%20El%C3%A9trica%20QDG2%20-%20Rack%20CC%20-%20TI")</f>
        <v>https://photos.google.com/search/2%C2%BAPav.-Sala%20El%C3%A9trica%20QDG2%20-%20Rack%20CC%20-%20TI</v>
      </c>
      <c r="J46" s="108"/>
    </row>
    <row r="47">
      <c r="A47" s="109" t="str">
        <f>IFERROR(__xludf.DUMMYFUNCTION("""COMPUTED_VALUE"""),"2ºPav.-Sala Espera Pacientes")</f>
        <v>2ºPav.-Sala Espera Pacientes</v>
      </c>
      <c r="B47" s="108" t="str">
        <f>IFERROR(__xludf.DUMMYFUNCTION("""COMPUTED_VALUE"""),"2ºPav.")</f>
        <v>2ºPav.</v>
      </c>
      <c r="C47" s="108" t="str">
        <f>IFERROR(__xludf.DUMMYFUNCTION("""COMPUTED_VALUE"""),"Sala Espera Pacientes")</f>
        <v>Sala Espera Pacientes</v>
      </c>
      <c r="D47" s="108" t="str">
        <f>IFERROR(__xludf.DUMMYFUNCTION("""COMPUTED_VALUE"""),"2ºPav.")</f>
        <v>2ºPav.</v>
      </c>
      <c r="E47" s="108" t="str">
        <f>IFERROR(__xludf.DUMMYFUNCTION("""COMPUTED_VALUE"""),"A")</f>
        <v>A</v>
      </c>
      <c r="F47" s="108"/>
      <c r="G47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02f3281f0bea49678d42e23673a35a02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02f3281f0bea49678d42e23673a35a02&amp;showComments=1&amp;guid=6882be48-6626-5238-d3df-94e9f0a0019d</v>
      </c>
      <c r="H47" s="108" t="str">
        <f>IFERROR(__xludf.DUMMYFUNCTION("""COMPUTED_VALUE"""),"Outros")</f>
        <v>Outros</v>
      </c>
      <c r="I47" s="108"/>
      <c r="J47" s="108"/>
    </row>
    <row r="48">
      <c r="A48" s="109" t="str">
        <f>IFERROR(__xludf.DUMMYFUNCTION("""COMPUTED_VALUE"""),"2ºPav.-Sala Geradores")</f>
        <v>2ºPav.-Sala Geradores</v>
      </c>
      <c r="B48" s="108" t="str">
        <f>IFERROR(__xludf.DUMMYFUNCTION("""COMPUTED_VALUE"""),"2ºPav.")</f>
        <v>2ºPav.</v>
      </c>
      <c r="C48" s="108" t="str">
        <f>IFERROR(__xludf.DUMMYFUNCTION("""COMPUTED_VALUE"""),"Sala Geradores")</f>
        <v>Sala Geradores</v>
      </c>
      <c r="D48" s="108" t="str">
        <f>IFERROR(__xludf.DUMMYFUNCTION("""COMPUTED_VALUE"""),"2ºPav.")</f>
        <v>2ºPav.</v>
      </c>
      <c r="E48" s="108" t="str">
        <f>IFERROR(__xludf.DUMMYFUNCTION("""COMPUTED_VALUE"""),"B")</f>
        <v>B</v>
      </c>
      <c r="F48" s="108">
        <f>IFERROR(__xludf.DUMMYFUNCTION("""COMPUTED_VALUE"""),4.0)</f>
        <v>4</v>
      </c>
      <c r="G48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a9b82bd8b4fc4428baab5e25ee4c96f8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a9b82bd8b4fc4428baab5e25ee4c96f8&amp;showComments=1&amp;guid=6882be48-6626-5238-d3df-94e9f0a0019d</v>
      </c>
      <c r="H48" s="108" t="str">
        <f>IFERROR(__xludf.DUMMYFUNCTION("""COMPUTED_VALUE"""),"Sala Elétrica")</f>
        <v>Sala Elétrica</v>
      </c>
      <c r="I48" s="108"/>
      <c r="J48" s="108"/>
    </row>
    <row r="49">
      <c r="A49" s="109" t="str">
        <f>IFERROR(__xludf.DUMMYFUNCTION("""COMPUTED_VALUE"""),"2ºPav.-Sala para Espera Paciente Maca")</f>
        <v>2ºPav.-Sala para Espera Paciente Maca</v>
      </c>
      <c r="B49" s="108" t="str">
        <f>IFERROR(__xludf.DUMMYFUNCTION("""COMPUTED_VALUE"""),"2ºPav.")</f>
        <v>2ºPav.</v>
      </c>
      <c r="C49" s="108" t="str">
        <f>IFERROR(__xludf.DUMMYFUNCTION("""COMPUTED_VALUE"""),"Sala para Espera Paciente Maca")</f>
        <v>Sala para Espera Paciente Maca</v>
      </c>
      <c r="D49" s="108" t="str">
        <f>IFERROR(__xludf.DUMMYFUNCTION("""COMPUTED_VALUE"""),"2ºPav.")</f>
        <v>2ºPav.</v>
      </c>
      <c r="E49" s="108" t="str">
        <f>IFERROR(__xludf.DUMMYFUNCTION("""COMPUTED_VALUE"""),"B")</f>
        <v>B</v>
      </c>
      <c r="F49" s="108"/>
      <c r="G49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3b39ec8c0f2b4a93b7c9fe0e8ad6a1b2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3b39ec8c0f2b4a93b7c9fe0e8ad6a1b2&amp;showComments=1&amp;guid=6882be48-6626-5238-d3df-94e9f0a0019d</v>
      </c>
      <c r="H49" s="108" t="str">
        <f>IFERROR(__xludf.DUMMYFUNCTION("""COMPUTED_VALUE"""),"Outros")</f>
        <v>Outros</v>
      </c>
      <c r="I49" s="109" t="str">
        <f>IFERROR(__xludf.DUMMYFUNCTION("""COMPUTED_VALUE"""),"https://photos.google.com/search/2%C2%BAPav.-Sala%20para%20Espera%20Paciente%20Maca")</f>
        <v>https://photos.google.com/search/2%C2%BAPav.-Sala%20para%20Espera%20Paciente%20Maca</v>
      </c>
      <c r="J49" s="108"/>
    </row>
    <row r="50">
      <c r="A50" s="109" t="str">
        <f>IFERROR(__xludf.DUMMYFUNCTION("""COMPUTED_VALUE"""),"2ºPav.-Sala Rack DD - 04 - TI")</f>
        <v>2ºPav.-Sala Rack DD - 04 - TI</v>
      </c>
      <c r="B50" s="108" t="str">
        <f>IFERROR(__xludf.DUMMYFUNCTION("""COMPUTED_VALUE"""),"2ºPav.")</f>
        <v>2ºPav.</v>
      </c>
      <c r="C50" s="108" t="str">
        <f>IFERROR(__xludf.DUMMYFUNCTION("""COMPUTED_VALUE"""),"Sala Rack DD - 04 - TI")</f>
        <v>Sala Rack DD - 04 - TI</v>
      </c>
      <c r="D50" s="108" t="str">
        <f>IFERROR(__xludf.DUMMYFUNCTION("""COMPUTED_VALUE"""),"2ºPav.")</f>
        <v>2ºPav.</v>
      </c>
      <c r="E50" s="108" t="str">
        <f>IFERROR(__xludf.DUMMYFUNCTION("""COMPUTED_VALUE"""),"A")</f>
        <v>A</v>
      </c>
      <c r="F50" s="108"/>
      <c r="G50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7649ca4e8e884efda90d9421f9bc03cd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7649ca4e8e884efda90d9421f9bc03cd&amp;showComments=1&amp;guid=6882be48-6626-5238-d3df-94e9f0a0019d</v>
      </c>
      <c r="H50" s="108" t="str">
        <f>IFERROR(__xludf.DUMMYFUNCTION("""COMPUTED_VALUE"""),"Sala Elétrica")</f>
        <v>Sala Elétrica</v>
      </c>
      <c r="I50" s="109" t="str">
        <f>IFERROR(__xludf.DUMMYFUNCTION("""COMPUTED_VALUE"""),"https://photos.google.com/search/2%C2%BAPav.-Sala%20Rack%20DD%20-%20TI")</f>
        <v>https://photos.google.com/search/2%C2%BAPav.-Sala%20Rack%20DD%20-%20TI</v>
      </c>
      <c r="J50" s="108"/>
    </row>
    <row r="51">
      <c r="A51" s="109" t="str">
        <f>IFERROR(__xludf.DUMMYFUNCTION("""COMPUTED_VALUE"""),"2ºPav.-Sala Tubo Pneumático")</f>
        <v>2ºPav.-Sala Tubo Pneumático</v>
      </c>
      <c r="B51" s="108" t="str">
        <f>IFERROR(__xludf.DUMMYFUNCTION("""COMPUTED_VALUE"""),"2ºPav.")</f>
        <v>2ºPav.</v>
      </c>
      <c r="C51" s="108" t="str">
        <f>IFERROR(__xludf.DUMMYFUNCTION("""COMPUTED_VALUE"""),"Sala Tubo Pneumático")</f>
        <v>Sala Tubo Pneumático</v>
      </c>
      <c r="D51" s="108" t="str">
        <f>IFERROR(__xludf.DUMMYFUNCTION("""COMPUTED_VALUE"""),"2ºPav.")</f>
        <v>2ºPav.</v>
      </c>
      <c r="E51" s="108" t="str">
        <f>IFERROR(__xludf.DUMMYFUNCTION("""COMPUTED_VALUE"""),"A")</f>
        <v>A</v>
      </c>
      <c r="F51" s="108"/>
      <c r="G51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38b6eabaf89648bd82451f8658809d73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38b6eabaf89648bd82451f8658809d73&amp;showComments=1&amp;guid=6882be48-6626-5238-d3df-94e9f0a0019d</v>
      </c>
      <c r="H51" s="108" t="str">
        <f>IFERROR(__xludf.DUMMYFUNCTION("""COMPUTED_VALUE"""),"Outros")</f>
        <v>Outros</v>
      </c>
      <c r="I51" s="109" t="str">
        <f>IFERROR(__xludf.DUMMYFUNCTION("""COMPUTED_VALUE"""),"https://photos.google.com/search/2%C2%BAPav.-Sala%20Tubo%20Pneum%C3%A1tico")</f>
        <v>https://photos.google.com/search/2%C2%BAPav.-Sala%20Tubo%20Pneum%C3%A1tico</v>
      </c>
      <c r="J51" s="108"/>
    </row>
    <row r="52">
      <c r="A52" s="109" t="str">
        <f>IFERROR(__xludf.DUMMYFUNCTION("""COMPUTED_VALUE"""),"2ºPav.-Sanitário Funcionários Feminino")</f>
        <v>2ºPav.-Sanitário Funcionários Feminino</v>
      </c>
      <c r="B52" s="108" t="str">
        <f>IFERROR(__xludf.DUMMYFUNCTION("""COMPUTED_VALUE"""),"2ºPav.")</f>
        <v>2ºPav.</v>
      </c>
      <c r="C52" s="108" t="str">
        <f>IFERROR(__xludf.DUMMYFUNCTION("""COMPUTED_VALUE"""),"Sanitário Funcionários Feminino")</f>
        <v>Sanitário Funcionários Feminino</v>
      </c>
      <c r="D52" s="108" t="str">
        <f>IFERROR(__xludf.DUMMYFUNCTION("""COMPUTED_VALUE"""),"2ºPav.")</f>
        <v>2ºPav.</v>
      </c>
      <c r="E52" s="108" t="str">
        <f>IFERROR(__xludf.DUMMYFUNCTION("""COMPUTED_VALUE"""),"B")</f>
        <v>B</v>
      </c>
      <c r="F52" s="108"/>
      <c r="G52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571368bb4eb04125b723d3a616ba9ba9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571368bb4eb04125b723d3a616ba9ba9&amp;showComments=1&amp;guid=6882be48-6626-5238-d3df-94e9f0a0019d</v>
      </c>
      <c r="H52" s="108" t="str">
        <f>IFERROR(__xludf.DUMMYFUNCTION("""COMPUTED_VALUE"""),"Sanitário")</f>
        <v>Sanitário</v>
      </c>
      <c r="I52" s="108"/>
      <c r="J52" s="108"/>
    </row>
    <row r="53">
      <c r="A53" s="109" t="str">
        <f>IFERROR(__xludf.DUMMYFUNCTION("""COMPUTED_VALUE"""),"2ºPav.-Sanitário Funcionários Masculino")</f>
        <v>2ºPav.-Sanitário Funcionários Masculino</v>
      </c>
      <c r="B53" s="108" t="str">
        <f>IFERROR(__xludf.DUMMYFUNCTION("""COMPUTED_VALUE"""),"2ºPav.")</f>
        <v>2ºPav.</v>
      </c>
      <c r="C53" s="108" t="str">
        <f>IFERROR(__xludf.DUMMYFUNCTION("""COMPUTED_VALUE"""),"Sanitário Funcionários Masculino")</f>
        <v>Sanitário Funcionários Masculino</v>
      </c>
      <c r="D53" s="108" t="str">
        <f>IFERROR(__xludf.DUMMYFUNCTION("""COMPUTED_VALUE"""),"2ºPav.")</f>
        <v>2ºPav.</v>
      </c>
      <c r="E53" s="108" t="str">
        <f>IFERROR(__xludf.DUMMYFUNCTION("""COMPUTED_VALUE"""),"B")</f>
        <v>B</v>
      </c>
      <c r="F53" s="108"/>
      <c r="G53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deed020b679c435b80d4c6d766c47bf1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deed020b679c435b80d4c6d766c47bf1&amp;showComments=1&amp;guid=6882be48-6626-5238-d3df-94e9f0a0019d</v>
      </c>
      <c r="H53" s="108" t="str">
        <f>IFERROR(__xludf.DUMMYFUNCTION("""COMPUTED_VALUE"""),"Sanitário")</f>
        <v>Sanitário</v>
      </c>
      <c r="I53" s="108"/>
      <c r="J53" s="108"/>
    </row>
    <row r="54">
      <c r="A54" s="109" t="str">
        <f>IFERROR(__xludf.DUMMYFUNCTION("""COMPUTED_VALUE"""),"2ºPav.-Sanitário Paciente PCD Feminino")</f>
        <v>2ºPav.-Sanitário Paciente PCD Feminino</v>
      </c>
      <c r="B54" s="108" t="str">
        <f>IFERROR(__xludf.DUMMYFUNCTION("""COMPUTED_VALUE"""),"2ºPav.")</f>
        <v>2ºPav.</v>
      </c>
      <c r="C54" s="108" t="str">
        <f>IFERROR(__xludf.DUMMYFUNCTION("""COMPUTED_VALUE"""),"Sanitário Paciente PCD Feminino")</f>
        <v>Sanitário Paciente PCD Feminino</v>
      </c>
      <c r="D54" s="108" t="str">
        <f>IFERROR(__xludf.DUMMYFUNCTION("""COMPUTED_VALUE"""),"2ºPav.")</f>
        <v>2ºPav.</v>
      </c>
      <c r="E54" s="108" t="str">
        <f>IFERROR(__xludf.DUMMYFUNCTION("""COMPUTED_VALUE"""),"A")</f>
        <v>A</v>
      </c>
      <c r="F54" s="108"/>
      <c r="G54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643bccc6b5cf4819a51a488e7ef786fc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643bccc6b5cf4819a51a488e7ef786fc&amp;showComments=1&amp;guid=6882be48-6626-5238-d3df-94e9f0a0019d</v>
      </c>
      <c r="H54" s="108" t="str">
        <f>IFERROR(__xludf.DUMMYFUNCTION("""COMPUTED_VALUE"""),"Sanitário")</f>
        <v>Sanitário</v>
      </c>
      <c r="I54" s="108"/>
      <c r="J54" s="108"/>
    </row>
    <row r="55">
      <c r="A55" s="109" t="str">
        <f>IFERROR(__xludf.DUMMYFUNCTION("""COMPUTED_VALUE"""),"2ºPav.-Sanitário Paciente PCD Feminino 2")</f>
        <v>2ºPav.-Sanitário Paciente PCD Feminino 2</v>
      </c>
      <c r="B55" s="108" t="str">
        <f>IFERROR(__xludf.DUMMYFUNCTION("""COMPUTED_VALUE"""),"2ºPav.")</f>
        <v>2ºPav.</v>
      </c>
      <c r="C55" s="108" t="str">
        <f>IFERROR(__xludf.DUMMYFUNCTION("""COMPUTED_VALUE"""),"Sanitário Paciente PCD Feminino 2")</f>
        <v>Sanitário Paciente PCD Feminino 2</v>
      </c>
      <c r="D55" s="108" t="str">
        <f>IFERROR(__xludf.DUMMYFUNCTION("""COMPUTED_VALUE"""),"2ºPav.")</f>
        <v>2ºPav.</v>
      </c>
      <c r="E55" s="108" t="str">
        <f>IFERROR(__xludf.DUMMYFUNCTION("""COMPUTED_VALUE"""),"A")</f>
        <v>A</v>
      </c>
      <c r="F55" s="108"/>
      <c r="G55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showComments=1&amp;guid=6882b"&amp;"e48-6626-5238-d3df-94e9f0a0019d&amp;commentId=urn:adsk.comments:social.comment:7e1a774a3f424fada2bc0848b870fd72")</f>
        <v>https://myhub.autodesk360.com/ue29d95bb/g/projects/20210514412106331/data/dXJuOmFkc2sud2lwcHJvZDpmcy5mb2xkZXI6Y28ucU04eGNtQzdReXliS0NURmJQYUFTQQ/dXJuOmFkc2sud2lwcHJvZDpkbS5saW5lYWdlOlh4SzhZNFhHVEN5WDNPT29yLUd3WlE/viewer?version=1&amp;showComments=1&amp;guid=6882be48-6626-5238-d3df-94e9f0a0019d&amp;commentId=urn:adsk.comments:social.comment:7e1a774a3f424fada2bc0848b870fd72</v>
      </c>
      <c r="H55" s="108" t="str">
        <f>IFERROR(__xludf.DUMMYFUNCTION("""COMPUTED_VALUE"""),"Sanitário")</f>
        <v>Sanitário</v>
      </c>
      <c r="I55" s="108"/>
      <c r="J55" s="108"/>
    </row>
    <row r="56">
      <c r="A56" s="109" t="str">
        <f>IFERROR(__xludf.DUMMYFUNCTION("""COMPUTED_VALUE"""),"2ºPav.-Sanitário Paciente PCD Feminino 3")</f>
        <v>2ºPav.-Sanitário Paciente PCD Feminino 3</v>
      </c>
      <c r="B56" s="108" t="str">
        <f>IFERROR(__xludf.DUMMYFUNCTION("""COMPUTED_VALUE"""),"2ºPav.")</f>
        <v>2ºPav.</v>
      </c>
      <c r="C56" s="108" t="str">
        <f>IFERROR(__xludf.DUMMYFUNCTION("""COMPUTED_VALUE"""),"Sanitário Paciente PCD Feminino 3")</f>
        <v>Sanitário Paciente PCD Feminino 3</v>
      </c>
      <c r="D56" s="108" t="str">
        <f>IFERROR(__xludf.DUMMYFUNCTION("""COMPUTED_VALUE"""),"2ºPav.")</f>
        <v>2ºPav.</v>
      </c>
      <c r="E56" s="108" t="str">
        <f>IFERROR(__xludf.DUMMYFUNCTION("""COMPUTED_VALUE"""),"A")</f>
        <v>A</v>
      </c>
      <c r="F56" s="108"/>
      <c r="G56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8206b7d9ab114dbdb1ff6d03b45af280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8206b7d9ab114dbdb1ff6d03b45af280&amp;showComments=1&amp;guid=6882be48-6626-5238-d3df-94e9f0a0019d</v>
      </c>
      <c r="H56" s="108" t="str">
        <f>IFERROR(__xludf.DUMMYFUNCTION("""COMPUTED_VALUE"""),"Sanitário")</f>
        <v>Sanitário</v>
      </c>
      <c r="I56" s="108"/>
      <c r="J56" s="108"/>
    </row>
    <row r="57">
      <c r="A57" s="109" t="str">
        <f>IFERROR(__xludf.DUMMYFUNCTION("""COMPUTED_VALUE"""),"2ºPav.-Sanitário Paciente PCD Feminino 4")</f>
        <v>2ºPav.-Sanitário Paciente PCD Feminino 4</v>
      </c>
      <c r="B57" s="108" t="str">
        <f>IFERROR(__xludf.DUMMYFUNCTION("""COMPUTED_VALUE"""),"2ºPav.")</f>
        <v>2ºPav.</v>
      </c>
      <c r="C57" s="108" t="str">
        <f>IFERROR(__xludf.DUMMYFUNCTION("""COMPUTED_VALUE"""),"Sanitário Paciente PCD Feminino 4")</f>
        <v>Sanitário Paciente PCD Feminino 4</v>
      </c>
      <c r="D57" s="108" t="str">
        <f>IFERROR(__xludf.DUMMYFUNCTION("""COMPUTED_VALUE"""),"2ºPav.")</f>
        <v>2ºPav.</v>
      </c>
      <c r="E57" s="108" t="str">
        <f>IFERROR(__xludf.DUMMYFUNCTION("""COMPUTED_VALUE"""),"A")</f>
        <v>A</v>
      </c>
      <c r="F57" s="108"/>
      <c r="G57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95194671135143af896d32a26ceebc1a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95194671135143af896d32a26ceebc1a&amp;showComments=1&amp;guid=6882be48-6626-5238-d3df-94e9f0a0019d</v>
      </c>
      <c r="H57" s="108" t="str">
        <f>IFERROR(__xludf.DUMMYFUNCTION("""COMPUTED_VALUE"""),"Sanitário")</f>
        <v>Sanitário</v>
      </c>
      <c r="I57" s="108"/>
      <c r="J57" s="108"/>
    </row>
    <row r="58">
      <c r="A58" s="109" t="str">
        <f>IFERROR(__xludf.DUMMYFUNCTION("""COMPUTED_VALUE"""),"2ºPav.-Sanitário Paciente PCD Masculino")</f>
        <v>2ºPav.-Sanitário Paciente PCD Masculino</v>
      </c>
      <c r="B58" s="108" t="str">
        <f>IFERROR(__xludf.DUMMYFUNCTION("""COMPUTED_VALUE"""),"2ºPav.")</f>
        <v>2ºPav.</v>
      </c>
      <c r="C58" s="108" t="str">
        <f>IFERROR(__xludf.DUMMYFUNCTION("""COMPUTED_VALUE"""),"Sanitário Paciente PCD Masculino")</f>
        <v>Sanitário Paciente PCD Masculino</v>
      </c>
      <c r="D58" s="108" t="str">
        <f>IFERROR(__xludf.DUMMYFUNCTION("""COMPUTED_VALUE"""),"2ºPav.")</f>
        <v>2ºPav.</v>
      </c>
      <c r="E58" s="108" t="str">
        <f>IFERROR(__xludf.DUMMYFUNCTION("""COMPUTED_VALUE"""),"A")</f>
        <v>A</v>
      </c>
      <c r="F58" s="108"/>
      <c r="G58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ae38a2bd969e4683a77286421aa35679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ae38a2bd969e4683a77286421aa35679&amp;showComments=1&amp;guid=6882be48-6626-5238-d3df-94e9f0a0019d</v>
      </c>
      <c r="H58" s="108" t="str">
        <f>IFERROR(__xludf.DUMMYFUNCTION("""COMPUTED_VALUE"""),"Sanitário")</f>
        <v>Sanitário</v>
      </c>
      <c r="I58" s="108"/>
      <c r="J58" s="108"/>
    </row>
    <row r="59">
      <c r="A59" s="109" t="str">
        <f>IFERROR(__xludf.DUMMYFUNCTION("""COMPUTED_VALUE"""),"2ºPav.-Sanitário Paciente PCD Masculino 2")</f>
        <v>2ºPav.-Sanitário Paciente PCD Masculino 2</v>
      </c>
      <c r="B59" s="108" t="str">
        <f>IFERROR(__xludf.DUMMYFUNCTION("""COMPUTED_VALUE"""),"2ºPav.")</f>
        <v>2ºPav.</v>
      </c>
      <c r="C59" s="108" t="str">
        <f>IFERROR(__xludf.DUMMYFUNCTION("""COMPUTED_VALUE"""),"Sanitário Paciente PCD Masculino 2")</f>
        <v>Sanitário Paciente PCD Masculino 2</v>
      </c>
      <c r="D59" s="108" t="str">
        <f>IFERROR(__xludf.DUMMYFUNCTION("""COMPUTED_VALUE"""),"2ºPav.")</f>
        <v>2ºPav.</v>
      </c>
      <c r="E59" s="108" t="str">
        <f>IFERROR(__xludf.DUMMYFUNCTION("""COMPUTED_VALUE"""),"A")</f>
        <v>A</v>
      </c>
      <c r="F59" s="108"/>
      <c r="G59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24693add50fc40baa8a6f1d0d0da7c3d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24693add50fc40baa8a6f1d0d0da7c3d&amp;showComments=1&amp;guid=6882be48-6626-5238-d3df-94e9f0a0019d</v>
      </c>
      <c r="H59" s="108" t="str">
        <f>IFERROR(__xludf.DUMMYFUNCTION("""COMPUTED_VALUE"""),"Sanitário")</f>
        <v>Sanitário</v>
      </c>
      <c r="I59" s="108"/>
      <c r="J59" s="108"/>
    </row>
    <row r="60">
      <c r="A60" s="109" t="str">
        <f>IFERROR(__xludf.DUMMYFUNCTION("""COMPUTED_VALUE"""),"2ºPav.-Sanitário Paciente PCD Masculino 3")</f>
        <v>2ºPav.-Sanitário Paciente PCD Masculino 3</v>
      </c>
      <c r="B60" s="108" t="str">
        <f>IFERROR(__xludf.DUMMYFUNCTION("""COMPUTED_VALUE"""),"2ºPav.")</f>
        <v>2ºPav.</v>
      </c>
      <c r="C60" s="108" t="str">
        <f>IFERROR(__xludf.DUMMYFUNCTION("""COMPUTED_VALUE"""),"Sanitário Paciente PCD Masculino 3")</f>
        <v>Sanitário Paciente PCD Masculino 3</v>
      </c>
      <c r="D60" s="108" t="str">
        <f>IFERROR(__xludf.DUMMYFUNCTION("""COMPUTED_VALUE"""),"2ºPav.")</f>
        <v>2ºPav.</v>
      </c>
      <c r="E60" s="108" t="str">
        <f>IFERROR(__xludf.DUMMYFUNCTION("""COMPUTED_VALUE"""),"A")</f>
        <v>A</v>
      </c>
      <c r="F60" s="108"/>
      <c r="G60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af7c25d70b1c496bbb831280f69d4bce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af7c25d70b1c496bbb831280f69d4bce&amp;showComments=1&amp;guid=6882be48-6626-5238-d3df-94e9f0a0019d</v>
      </c>
      <c r="H60" s="108" t="str">
        <f>IFERROR(__xludf.DUMMYFUNCTION("""COMPUTED_VALUE"""),"Sanitário")</f>
        <v>Sanitário</v>
      </c>
      <c r="I60" s="108"/>
      <c r="J60" s="108"/>
    </row>
    <row r="61">
      <c r="A61" s="109" t="str">
        <f>IFERROR(__xludf.DUMMYFUNCTION("""COMPUTED_VALUE"""),"2ºPav.-Sanitário Paciente PCD Masculino 4")</f>
        <v>2ºPav.-Sanitário Paciente PCD Masculino 4</v>
      </c>
      <c r="B61" s="108" t="str">
        <f>IFERROR(__xludf.DUMMYFUNCTION("""COMPUTED_VALUE"""),"2ºPav.")</f>
        <v>2ºPav.</v>
      </c>
      <c r="C61" s="108" t="str">
        <f>IFERROR(__xludf.DUMMYFUNCTION("""COMPUTED_VALUE"""),"Sanitário Paciente PCD Masculino 4")</f>
        <v>Sanitário Paciente PCD Masculino 4</v>
      </c>
      <c r="D61" s="108" t="str">
        <f>IFERROR(__xludf.DUMMYFUNCTION("""COMPUTED_VALUE"""),"2ºPav.")</f>
        <v>2ºPav.</v>
      </c>
      <c r="E61" s="108" t="str">
        <f>IFERROR(__xludf.DUMMYFUNCTION("""COMPUTED_VALUE"""),"A")</f>
        <v>A</v>
      </c>
      <c r="F61" s="108"/>
      <c r="G61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8d6dcacbb2494366a6b1417e46408eec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8d6dcacbb2494366a6b1417e46408eec&amp;showComments=1&amp;guid=6882be48-6626-5238-d3df-94e9f0a0019d</v>
      </c>
      <c r="H61" s="108" t="str">
        <f>IFERROR(__xludf.DUMMYFUNCTION("""COMPUTED_VALUE"""),"Sanitário")</f>
        <v>Sanitário</v>
      </c>
      <c r="I61" s="108"/>
      <c r="J61" s="108"/>
    </row>
    <row r="62">
      <c r="A62" s="109" t="str">
        <f>IFERROR(__xludf.DUMMYFUNCTION("""COMPUTED_VALUE"""),"2ºPav.-Sanitário Paciente PCD Privativo")</f>
        <v>2ºPav.-Sanitário Paciente PCD Privativo</v>
      </c>
      <c r="B62" s="108" t="str">
        <f>IFERROR(__xludf.DUMMYFUNCTION("""COMPUTED_VALUE"""),"2ºPav.")</f>
        <v>2ºPav.</v>
      </c>
      <c r="C62" s="108" t="str">
        <f>IFERROR(__xludf.DUMMYFUNCTION("""COMPUTED_VALUE"""),"Sanitário Paciente PCD Privativo")</f>
        <v>Sanitário Paciente PCD Privativo</v>
      </c>
      <c r="D62" s="108" t="str">
        <f>IFERROR(__xludf.DUMMYFUNCTION("""COMPUTED_VALUE"""),"2ºPav.")</f>
        <v>2ºPav.</v>
      </c>
      <c r="E62" s="108" t="str">
        <f>IFERROR(__xludf.DUMMYFUNCTION("""COMPUTED_VALUE"""),"A")</f>
        <v>A</v>
      </c>
      <c r="F62" s="108"/>
      <c r="G62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b064a1f8eb97403b98ecfab5d577c151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b064a1f8eb97403b98ecfab5d577c151&amp;showComments=1&amp;guid=6882be48-6626-5238-d3df-94e9f0a0019d</v>
      </c>
      <c r="H62" s="108" t="str">
        <f>IFERROR(__xludf.DUMMYFUNCTION("""COMPUTED_VALUE"""),"Sanitário")</f>
        <v>Sanitário</v>
      </c>
      <c r="I62" s="108"/>
      <c r="J62" s="108"/>
    </row>
    <row r="63">
      <c r="A63" s="109" t="str">
        <f>IFERROR(__xludf.DUMMYFUNCTION("""COMPUTED_VALUE"""),"2ºPav.-Sanitário Público PCD Feminino")</f>
        <v>2ºPav.-Sanitário Público PCD Feminino</v>
      </c>
      <c r="B63" s="108" t="str">
        <f>IFERROR(__xludf.DUMMYFUNCTION("""COMPUTED_VALUE"""),"2ºPav.")</f>
        <v>2ºPav.</v>
      </c>
      <c r="C63" s="108" t="str">
        <f>IFERROR(__xludf.DUMMYFUNCTION("""COMPUTED_VALUE"""),"Sanitário Público PCD Feminino")</f>
        <v>Sanitário Público PCD Feminino</v>
      </c>
      <c r="D63" s="108" t="str">
        <f>IFERROR(__xludf.DUMMYFUNCTION("""COMPUTED_VALUE"""),"2ºPav.")</f>
        <v>2ºPav.</v>
      </c>
      <c r="E63" s="108" t="str">
        <f>IFERROR(__xludf.DUMMYFUNCTION("""COMPUTED_VALUE"""),"B")</f>
        <v>B</v>
      </c>
      <c r="F63" s="108"/>
      <c r="G63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85583d13658e4f619bd12de2769fa4cf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85583d13658e4f619bd12de2769fa4cf&amp;showComments=1&amp;guid=6882be48-6626-5238-d3df-94e9f0a0019d</v>
      </c>
      <c r="H63" s="108" t="str">
        <f>IFERROR(__xludf.DUMMYFUNCTION("""COMPUTED_VALUE"""),"Sanitário")</f>
        <v>Sanitário</v>
      </c>
      <c r="I63" s="108"/>
      <c r="J63" s="108"/>
    </row>
    <row r="64">
      <c r="A64" s="109" t="str">
        <f>IFERROR(__xludf.DUMMYFUNCTION("""COMPUTED_VALUE"""),"2ºPav.-Sanitário Público PCD Masculino")</f>
        <v>2ºPav.-Sanitário Público PCD Masculino</v>
      </c>
      <c r="B64" s="108" t="str">
        <f>IFERROR(__xludf.DUMMYFUNCTION("""COMPUTED_VALUE"""),"2ºPav.")</f>
        <v>2ºPav.</v>
      </c>
      <c r="C64" s="108" t="str">
        <f>IFERROR(__xludf.DUMMYFUNCTION("""COMPUTED_VALUE"""),"Sanitário Público PCD Masculino")</f>
        <v>Sanitário Público PCD Masculino</v>
      </c>
      <c r="D64" s="108" t="str">
        <f>IFERROR(__xludf.DUMMYFUNCTION("""COMPUTED_VALUE"""),"2ºPav.")</f>
        <v>2ºPav.</v>
      </c>
      <c r="E64" s="108" t="str">
        <f>IFERROR(__xludf.DUMMYFUNCTION("""COMPUTED_VALUE"""),"B")</f>
        <v>B</v>
      </c>
      <c r="F64" s="108"/>
      <c r="G64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4db6eb933b5c43a292bf2c90d902b53c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4db6eb933b5c43a292bf2c90d902b53c&amp;showComments=1&amp;guid=6882be48-6626-5238-d3df-94e9f0a0019d</v>
      </c>
      <c r="H64" s="108" t="str">
        <f>IFERROR(__xludf.DUMMYFUNCTION("""COMPUTED_VALUE"""),"Sanitário")</f>
        <v>Sanitário</v>
      </c>
      <c r="I64" s="108"/>
      <c r="J64" s="108"/>
    </row>
    <row r="65">
      <c r="A65" s="109" t="str">
        <f>IFERROR(__xludf.DUMMYFUNCTION("""COMPUTED_VALUE"""),"2ºPav.-Triagem")</f>
        <v>2ºPav.-Triagem</v>
      </c>
      <c r="B65" s="108" t="str">
        <f>IFERROR(__xludf.DUMMYFUNCTION("""COMPUTED_VALUE"""),"2ºPav.")</f>
        <v>2ºPav.</v>
      </c>
      <c r="C65" s="108" t="str">
        <f>IFERROR(__xludf.DUMMYFUNCTION("""COMPUTED_VALUE"""),"Triagem")</f>
        <v>Triagem</v>
      </c>
      <c r="D65" s="108" t="str">
        <f>IFERROR(__xludf.DUMMYFUNCTION("""COMPUTED_VALUE"""),"2ºPav.")</f>
        <v>2ºPav.</v>
      </c>
      <c r="E65" s="108" t="str">
        <f>IFERROR(__xludf.DUMMYFUNCTION("""COMPUTED_VALUE"""),"A")</f>
        <v>A</v>
      </c>
      <c r="F65" s="108"/>
      <c r="G65" s="109" t="str">
        <f>IFERROR(__xludf.DUMMYFUNCTION("""COMPUTED_VALUE"""),"https://myhub.autodesk360.com/ue29d95bb/g/projects/20210514412106331/data/dXJuOmFkc2sud2lwcHJvZDpmcy5mb2xkZXI6Y28ucU04eGNtQzdReXliS0NURmJQYUFTQQ/dXJuOmFkc2sud2lwcHJvZDpkbS5saW5lYWdlOlh4SzhZNFhHVEN5WDNPT29yLUd3WlE/viewer?version=1&amp;commentId=urn:adsk.commen"&amp;"ts:social.comment:36437738f6fb416b9aef50b71575e907&amp;showComments=1&amp;guid=6882be48-6626-5238-d3df-94e9f0a0019d")</f>
        <v>https://myhub.autodesk360.com/ue29d95bb/g/projects/20210514412106331/data/dXJuOmFkc2sud2lwcHJvZDpmcy5mb2xkZXI6Y28ucU04eGNtQzdReXliS0NURmJQYUFTQQ/dXJuOmFkc2sud2lwcHJvZDpkbS5saW5lYWdlOlh4SzhZNFhHVEN5WDNPT29yLUd3WlE/viewer?version=1&amp;commentId=urn:adsk.comments:social.comment:36437738f6fb416b9aef50b71575e907&amp;showComments=1&amp;guid=6882be48-6626-5238-d3df-94e9f0a0019d</v>
      </c>
      <c r="H65" s="108" t="str">
        <f>IFERROR(__xludf.DUMMYFUNCTION("""COMPUTED_VALUE"""),"Consultório")</f>
        <v>Consultório</v>
      </c>
      <c r="I65" s="108"/>
      <c r="J65" s="108"/>
    </row>
    <row r="66">
      <c r="A66" s="109" t="str">
        <f>IFERROR(__xludf.DUMMYFUNCTION("""COMPUTED_VALUE"""),"3ºPav.")</f>
        <v>3ºPav.</v>
      </c>
      <c r="B66" s="108" t="str">
        <f>IFERROR(__xludf.DUMMYFUNCTION("""COMPUTED_VALUE"""),"3ºPav.")</f>
        <v>3ºPav.</v>
      </c>
      <c r="C66" s="108" t="str">
        <f>IFERROR(__xludf.DUMMYFUNCTION("""COMPUTED_VALUE"""),"3ºPav.")</f>
        <v>3ºPav.</v>
      </c>
      <c r="D66" s="108"/>
      <c r="E66" s="108"/>
      <c r="F66" s="108"/>
      <c r="G66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showComments=1&amp;guid=6882be48-6626-5238-d3df-94e9f0a0019d</v>
      </c>
      <c r="H66" s="108" t="str">
        <f>IFERROR(__xludf.DUMMYFUNCTION("""COMPUTED_VALUE"""),"Geral")</f>
        <v>Geral</v>
      </c>
      <c r="I66" s="109" t="str">
        <f>IFERROR(__xludf.DUMMYFUNCTION("""COMPUTED_VALUE"""),"https://photos.google.com/share/AF1QipML0pWaQlOe1-_s-Gu07eMJ5zObBNQFRrubYjOecjXfQVywkl0xcU2A247KA8FVDQ?key=QVZpdEx6Yno1c29CMlM4QUlaSHpDS2hLdlAzeFRn")</f>
        <v>https://photos.google.com/share/AF1QipML0pWaQlOe1-_s-Gu07eMJ5zObBNQFRrubYjOecjXfQVywkl0xcU2A247KA8FVDQ?key=QVZpdEx6Yno1c29CMlM4QUlaSHpDS2hLdlAzeFRn</v>
      </c>
      <c r="J66" s="108"/>
    </row>
    <row r="67">
      <c r="A67" s="109" t="str">
        <f>IFERROR(__xludf.DUMMYFUNCTION("""COMPUTED_VALUE"""),"3ºPav.-Acesso e Salas de Espera")</f>
        <v>3ºPav.-Acesso e Salas de Espera</v>
      </c>
      <c r="B67" s="108" t="str">
        <f>IFERROR(__xludf.DUMMYFUNCTION("""COMPUTED_VALUE"""),"3ºPav.")</f>
        <v>3ºPav.</v>
      </c>
      <c r="C67" s="108" t="str">
        <f>IFERROR(__xludf.DUMMYFUNCTION("""COMPUTED_VALUE"""),"Acesso e Salas de Espera")</f>
        <v>Acesso e Salas de Espera</v>
      </c>
      <c r="D67" s="108" t="str">
        <f>IFERROR(__xludf.DUMMYFUNCTION("""COMPUTED_VALUE"""),"3ºPav.")</f>
        <v>3ºPav.</v>
      </c>
      <c r="E67" s="108" t="str">
        <f>IFERROR(__xludf.DUMMYFUNCTION("""COMPUTED_VALUE"""),"A")</f>
        <v>A</v>
      </c>
      <c r="F67" s="108"/>
      <c r="G67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7e498cc6958c4299ba4992c72f0f7d50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7e498cc6958c4299ba4992c72f0f7d50&amp;showComments=1&amp;guid=6882be48-6626-5238-d3df-94e9f0a0019d</v>
      </c>
      <c r="H67" s="108" t="str">
        <f>IFERROR(__xludf.DUMMYFUNCTION("""COMPUTED_VALUE"""),"Recepção")</f>
        <v>Recepção</v>
      </c>
      <c r="I67" s="108"/>
      <c r="J67" s="108"/>
    </row>
    <row r="68">
      <c r="A68" s="109" t="str">
        <f>IFERROR(__xludf.DUMMYFUNCTION("""COMPUTED_VALUE"""),"3ºPav.-Antecâmara Setor A")</f>
        <v>3ºPav.-Antecâmara Setor A</v>
      </c>
      <c r="B68" s="108" t="str">
        <f>IFERROR(__xludf.DUMMYFUNCTION("""COMPUTED_VALUE"""),"3ºPav.")</f>
        <v>3ºPav.</v>
      </c>
      <c r="C68" s="108" t="str">
        <f>IFERROR(__xludf.DUMMYFUNCTION("""COMPUTED_VALUE"""),"Antecâmara Setor A")</f>
        <v>Antecâmara Setor A</v>
      </c>
      <c r="D68" s="108" t="str">
        <f>IFERROR(__xludf.DUMMYFUNCTION("""COMPUTED_VALUE"""),"3ºPav.")</f>
        <v>3ºPav.</v>
      </c>
      <c r="E68" s="108" t="str">
        <f>IFERROR(__xludf.DUMMYFUNCTION("""COMPUTED_VALUE"""),"A")</f>
        <v>A</v>
      </c>
      <c r="F68" s="108">
        <f>IFERROR(__xludf.DUMMYFUNCTION("""COMPUTED_VALUE"""),74.0)</f>
        <v>74</v>
      </c>
      <c r="G68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showComments=1&amp;guid=6882b"&amp;"e48-6626-5238-d3df-94e9f0a0019d&amp;commentId=urn:adsk.comments:social.comment:7f6485a933314acab8daaa6c290164cd")</f>
        <v>https://myhub.autodesk360.com/ue29d95bb/g/projects/20210514412106331/data/dXJuOmFkc2sud2lwcHJvZDpmcy5mb2xkZXI6Y28ucU04eGNtQzdReXliS0NURmJQYUFTQQ/dXJuOmFkc2sud2lwcHJvZDpkbS5saW5lYWdlOnVra1VxSVhpUnF1LWxsVktOREhscFE/viewer?version=1&amp;showComments=1&amp;guid=6882be48-6626-5238-d3df-94e9f0a0019d&amp;commentId=urn:adsk.comments:social.comment:7f6485a933314acab8daaa6c290164cd</v>
      </c>
      <c r="H68" s="108" t="str">
        <f>IFERROR(__xludf.DUMMYFUNCTION("""COMPUTED_VALUE"""),"Circulação / Corredores")</f>
        <v>Circulação / Corredores</v>
      </c>
      <c r="I68" s="108"/>
      <c r="J68" s="108"/>
    </row>
    <row r="69">
      <c r="A69" s="109" t="str">
        <f>IFERROR(__xludf.DUMMYFUNCTION("""COMPUTED_VALUE"""),"3ºPav.-Antecâmara Setor B")</f>
        <v>3ºPav.-Antecâmara Setor B</v>
      </c>
      <c r="B69" s="108" t="str">
        <f>IFERROR(__xludf.DUMMYFUNCTION("""COMPUTED_VALUE"""),"3ºPav.")</f>
        <v>3ºPav.</v>
      </c>
      <c r="C69" s="108" t="str">
        <f>IFERROR(__xludf.DUMMYFUNCTION("""COMPUTED_VALUE"""),"Antecâmara Setor B")</f>
        <v>Antecâmara Setor B</v>
      </c>
      <c r="D69" s="108" t="str">
        <f>IFERROR(__xludf.DUMMYFUNCTION("""COMPUTED_VALUE"""),"3ºPav.")</f>
        <v>3ºPav.</v>
      </c>
      <c r="E69" s="108" t="str">
        <f>IFERROR(__xludf.DUMMYFUNCTION("""COMPUTED_VALUE"""),"B")</f>
        <v>B</v>
      </c>
      <c r="F69" s="108">
        <f>IFERROR(__xludf.DUMMYFUNCTION("""COMPUTED_VALUE"""),73.0)</f>
        <v>73</v>
      </c>
      <c r="G69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showComments=1&amp;guid=6882be48-6626-5238-d3df-94e9f0a0019d</v>
      </c>
      <c r="H69" s="108" t="str">
        <f>IFERROR(__xludf.DUMMYFUNCTION("""COMPUTED_VALUE"""),"Circulação / Corredores")</f>
        <v>Circulação / Corredores</v>
      </c>
      <c r="I69" s="108"/>
      <c r="J69" s="108"/>
    </row>
    <row r="70">
      <c r="A70" s="109" t="str">
        <f>IFERROR(__xludf.DUMMYFUNCTION("""COMPUTED_VALUE"""),"3ºPav.-Área para Registro de Pacientes")</f>
        <v>3ºPav.-Área para Registro de Pacientes</v>
      </c>
      <c r="B70" s="108" t="str">
        <f>IFERROR(__xludf.DUMMYFUNCTION("""COMPUTED_VALUE"""),"3ºPav.")</f>
        <v>3ºPav.</v>
      </c>
      <c r="C70" s="108" t="str">
        <f>IFERROR(__xludf.DUMMYFUNCTION("""COMPUTED_VALUE"""),"Área para Registro de Pacientes")</f>
        <v>Área para Registro de Pacientes</v>
      </c>
      <c r="D70" s="108" t="str">
        <f>IFERROR(__xludf.DUMMYFUNCTION("""COMPUTED_VALUE"""),"3ºPav.")</f>
        <v>3ºPav.</v>
      </c>
      <c r="E70" s="108" t="str">
        <f>IFERROR(__xludf.DUMMYFUNCTION("""COMPUTED_VALUE"""),"A")</f>
        <v>A</v>
      </c>
      <c r="F70" s="108"/>
      <c r="G70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f4680b93c69a479aa3603caf1d07390e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f4680b93c69a479aa3603caf1d07390e&amp;showComments=1&amp;guid=6882be48-6626-5238-d3df-94e9f0a0019d</v>
      </c>
      <c r="H70" s="108" t="str">
        <f>IFERROR(__xludf.DUMMYFUNCTION("""COMPUTED_VALUE"""),"Recepção")</f>
        <v>Recepção</v>
      </c>
      <c r="I70" s="108"/>
      <c r="J70" s="108"/>
    </row>
    <row r="71">
      <c r="A71" s="109" t="str">
        <f>IFERROR(__xludf.DUMMYFUNCTION("""COMPUTED_VALUE"""),"3ºPav.-Circulação Monta Carga")</f>
        <v>3ºPav.-Circulação Monta Carga</v>
      </c>
      <c r="B71" s="108" t="str">
        <f>IFERROR(__xludf.DUMMYFUNCTION("""COMPUTED_VALUE"""),"3ºPav.")</f>
        <v>3ºPav.</v>
      </c>
      <c r="C71" s="108" t="str">
        <f>IFERROR(__xludf.DUMMYFUNCTION("""COMPUTED_VALUE"""),"Circulação Monta Carga")</f>
        <v>Circulação Monta Carga</v>
      </c>
      <c r="D71" s="108" t="str">
        <f>IFERROR(__xludf.DUMMYFUNCTION("""COMPUTED_VALUE"""),"3ºPav.")</f>
        <v>3ºPav.</v>
      </c>
      <c r="E71" s="108" t="str">
        <f>IFERROR(__xludf.DUMMYFUNCTION("""COMPUTED_VALUE"""),"B")</f>
        <v>B</v>
      </c>
      <c r="F71" s="108"/>
      <c r="G71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f61143f70eeb40289b4537cd50b755aa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f61143f70eeb40289b4537cd50b755aa&amp;showComments=1&amp;guid=6882be48-6626-5238-d3df-94e9f0a0019d</v>
      </c>
      <c r="H71" s="108" t="str">
        <f>IFERROR(__xludf.DUMMYFUNCTION("""COMPUTED_VALUE"""),"Outros")</f>
        <v>Outros</v>
      </c>
      <c r="I71" s="108"/>
      <c r="J71" s="108"/>
    </row>
    <row r="72">
      <c r="A72" s="109" t="str">
        <f>IFERROR(__xludf.DUMMYFUNCTION("""COMPUTED_VALUE"""),"3ºPav.-Consultório Diferenciado 1")</f>
        <v>3ºPav.-Consultório Diferenciado 1</v>
      </c>
      <c r="B72" s="108" t="str">
        <f>IFERROR(__xludf.DUMMYFUNCTION("""COMPUTED_VALUE"""),"3ºPav.")</f>
        <v>3ºPav.</v>
      </c>
      <c r="C72" s="108" t="str">
        <f>IFERROR(__xludf.DUMMYFUNCTION("""COMPUTED_VALUE"""),"Consultório Diferenciado 1")</f>
        <v>Consultório Diferenciado 1</v>
      </c>
      <c r="D72" s="108" t="str">
        <f>IFERROR(__xludf.DUMMYFUNCTION("""COMPUTED_VALUE"""),"3ºPav.")</f>
        <v>3ºPav.</v>
      </c>
      <c r="E72" s="108" t="str">
        <f>IFERROR(__xludf.DUMMYFUNCTION("""COMPUTED_VALUE"""),"B")</f>
        <v>B</v>
      </c>
      <c r="F72" s="108"/>
      <c r="G72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2c10a565467846a38e9f5f0bdd8496fb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2c10a565467846a38e9f5f0bdd8496fb&amp;showComments=1&amp;guid=6882be48-6626-5238-d3df-94e9f0a0019d</v>
      </c>
      <c r="H72" s="108" t="str">
        <f>IFERROR(__xludf.DUMMYFUNCTION("""COMPUTED_VALUE"""),"Consultório")</f>
        <v>Consultório</v>
      </c>
      <c r="I72" s="108"/>
      <c r="J72" s="108"/>
    </row>
    <row r="73">
      <c r="A73" s="109" t="str">
        <f>IFERROR(__xludf.DUMMYFUNCTION("""COMPUTED_VALUE"""),"3ºPav.-Consultório Diferenciado 10")</f>
        <v>3ºPav.-Consultório Diferenciado 10</v>
      </c>
      <c r="B73" s="108" t="str">
        <f>IFERROR(__xludf.DUMMYFUNCTION("""COMPUTED_VALUE"""),"3ºPav.")</f>
        <v>3ºPav.</v>
      </c>
      <c r="C73" s="108" t="str">
        <f>IFERROR(__xludf.DUMMYFUNCTION("""COMPUTED_VALUE"""),"Consultório Diferenciado 10")</f>
        <v>Consultório Diferenciado 10</v>
      </c>
      <c r="D73" s="108" t="str">
        <f>IFERROR(__xludf.DUMMYFUNCTION("""COMPUTED_VALUE"""),"3ºPav.")</f>
        <v>3ºPav.</v>
      </c>
      <c r="E73" s="108" t="str">
        <f>IFERROR(__xludf.DUMMYFUNCTION("""COMPUTED_VALUE"""),"B")</f>
        <v>B</v>
      </c>
      <c r="F73" s="108"/>
      <c r="G73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b33b86c0f11e4803aa6aaa8eb5632280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b33b86c0f11e4803aa6aaa8eb5632280&amp;showComments=1&amp;guid=6882be48-6626-5238-d3df-94e9f0a0019d</v>
      </c>
      <c r="H73" s="108" t="str">
        <f>IFERROR(__xludf.DUMMYFUNCTION("""COMPUTED_VALUE"""),"Consultório")</f>
        <v>Consultório</v>
      </c>
      <c r="I73" s="108"/>
      <c r="J73" s="108"/>
    </row>
    <row r="74">
      <c r="A74" s="109" t="str">
        <f>IFERROR(__xludf.DUMMYFUNCTION("""COMPUTED_VALUE"""),"3ºPav.-Consultório Diferenciado 11")</f>
        <v>3ºPav.-Consultório Diferenciado 11</v>
      </c>
      <c r="B74" s="108" t="str">
        <f>IFERROR(__xludf.DUMMYFUNCTION("""COMPUTED_VALUE"""),"3ºPav.")</f>
        <v>3ºPav.</v>
      </c>
      <c r="C74" s="108" t="str">
        <f>IFERROR(__xludf.DUMMYFUNCTION("""COMPUTED_VALUE"""),"Consultório Diferenciado 11")</f>
        <v>Consultório Diferenciado 11</v>
      </c>
      <c r="D74" s="108" t="str">
        <f>IFERROR(__xludf.DUMMYFUNCTION("""COMPUTED_VALUE"""),"3ºPav.")</f>
        <v>3ºPav.</v>
      </c>
      <c r="E74" s="108" t="str">
        <f>IFERROR(__xludf.DUMMYFUNCTION("""COMPUTED_VALUE"""),"B")</f>
        <v>B</v>
      </c>
      <c r="F74" s="108"/>
      <c r="G74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131c5338d6fa445e868756c5557fb223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131c5338d6fa445e868756c5557fb223&amp;showComments=1&amp;guid=6882be48-6626-5238-d3df-94e9f0a0019d</v>
      </c>
      <c r="H74" s="108" t="str">
        <f>IFERROR(__xludf.DUMMYFUNCTION("""COMPUTED_VALUE"""),"Consultório")</f>
        <v>Consultório</v>
      </c>
      <c r="I74" s="108"/>
      <c r="J74" s="108"/>
    </row>
    <row r="75">
      <c r="A75" s="109" t="str">
        <f>IFERROR(__xludf.DUMMYFUNCTION("""COMPUTED_VALUE"""),"3ºPav.-Consultório Diferenciado 2")</f>
        <v>3ºPav.-Consultório Diferenciado 2</v>
      </c>
      <c r="B75" s="108" t="str">
        <f>IFERROR(__xludf.DUMMYFUNCTION("""COMPUTED_VALUE"""),"3ºPav.")</f>
        <v>3ºPav.</v>
      </c>
      <c r="C75" s="108" t="str">
        <f>IFERROR(__xludf.DUMMYFUNCTION("""COMPUTED_VALUE"""),"Consultório Diferenciado 2")</f>
        <v>Consultório Diferenciado 2</v>
      </c>
      <c r="D75" s="108" t="str">
        <f>IFERROR(__xludf.DUMMYFUNCTION("""COMPUTED_VALUE"""),"3ºPav.")</f>
        <v>3ºPav.</v>
      </c>
      <c r="E75" s="108" t="str">
        <f>IFERROR(__xludf.DUMMYFUNCTION("""COMPUTED_VALUE"""),"B")</f>
        <v>B</v>
      </c>
      <c r="F75" s="108"/>
      <c r="G75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603cc9abbd504598ae3374d752e0a1ce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603cc9abbd504598ae3374d752e0a1ce&amp;showComments=1&amp;guid=6882be48-6626-5238-d3df-94e9f0a0019d</v>
      </c>
      <c r="H75" s="108" t="str">
        <f>IFERROR(__xludf.DUMMYFUNCTION("""COMPUTED_VALUE"""),"Consultório")</f>
        <v>Consultório</v>
      </c>
      <c r="I75" s="108"/>
      <c r="J75" s="108"/>
    </row>
    <row r="76">
      <c r="A76" s="109" t="str">
        <f>IFERROR(__xludf.DUMMYFUNCTION("""COMPUTED_VALUE"""),"3ºPav.-Consultório Diferenciado 3")</f>
        <v>3ºPav.-Consultório Diferenciado 3</v>
      </c>
      <c r="B76" s="108" t="str">
        <f>IFERROR(__xludf.DUMMYFUNCTION("""COMPUTED_VALUE"""),"3ºPav.")</f>
        <v>3ºPav.</v>
      </c>
      <c r="C76" s="108" t="str">
        <f>IFERROR(__xludf.DUMMYFUNCTION("""COMPUTED_VALUE"""),"Consultório Diferenciado 3")</f>
        <v>Consultório Diferenciado 3</v>
      </c>
      <c r="D76" s="108" t="str">
        <f>IFERROR(__xludf.DUMMYFUNCTION("""COMPUTED_VALUE"""),"3ºPav.")</f>
        <v>3ºPav.</v>
      </c>
      <c r="E76" s="108" t="str">
        <f>IFERROR(__xludf.DUMMYFUNCTION("""COMPUTED_VALUE"""),"B")</f>
        <v>B</v>
      </c>
      <c r="F76" s="108"/>
      <c r="G76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795390faf5bc40cb8ef9b380c2696963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795390faf5bc40cb8ef9b380c2696963&amp;showComments=1&amp;guid=6882be48-6626-5238-d3df-94e9f0a0019d</v>
      </c>
      <c r="H76" s="108" t="str">
        <f>IFERROR(__xludf.DUMMYFUNCTION("""COMPUTED_VALUE"""),"Consultório")</f>
        <v>Consultório</v>
      </c>
      <c r="I76" s="108"/>
      <c r="J76" s="108"/>
    </row>
    <row r="77">
      <c r="A77" s="109" t="str">
        <f>IFERROR(__xludf.DUMMYFUNCTION("""COMPUTED_VALUE"""),"3ºPav.-Consultório Diferenciado 9")</f>
        <v>3ºPav.-Consultório Diferenciado 9</v>
      </c>
      <c r="B77" s="108" t="str">
        <f>IFERROR(__xludf.DUMMYFUNCTION("""COMPUTED_VALUE"""),"3ºPav.")</f>
        <v>3ºPav.</v>
      </c>
      <c r="C77" s="108" t="str">
        <f>IFERROR(__xludf.DUMMYFUNCTION("""COMPUTED_VALUE"""),"Consultório Diferenciado 9")</f>
        <v>Consultório Diferenciado 9</v>
      </c>
      <c r="D77" s="108" t="str">
        <f>IFERROR(__xludf.DUMMYFUNCTION("""COMPUTED_VALUE"""),"3ºPav.")</f>
        <v>3ºPav.</v>
      </c>
      <c r="E77" s="108" t="str">
        <f>IFERROR(__xludf.DUMMYFUNCTION("""COMPUTED_VALUE"""),"B")</f>
        <v>B</v>
      </c>
      <c r="F77" s="108"/>
      <c r="G77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d6693519e8634a5887453d8fd6493b84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d6693519e8634a5887453d8fd6493b84&amp;showComments=1&amp;guid=6882be48-6626-5238-d3df-94e9f0a0019d</v>
      </c>
      <c r="H77" s="108" t="str">
        <f>IFERROR(__xludf.DUMMYFUNCTION("""COMPUTED_VALUE"""),"Consultório")</f>
        <v>Consultório</v>
      </c>
      <c r="I77" s="108"/>
      <c r="J77" s="108"/>
    </row>
    <row r="78">
      <c r="A78" s="109" t="str">
        <f>IFERROR(__xludf.DUMMYFUNCTION("""COMPUTED_VALUE"""),"3ºPav.-Consultório Fisioterapia")</f>
        <v>3ºPav.-Consultório Fisioterapia</v>
      </c>
      <c r="B78" s="108" t="str">
        <f>IFERROR(__xludf.DUMMYFUNCTION("""COMPUTED_VALUE"""),"3ºPav.")</f>
        <v>3ºPav.</v>
      </c>
      <c r="C78" s="108" t="str">
        <f>IFERROR(__xludf.DUMMYFUNCTION("""COMPUTED_VALUE"""),"Consultório Fisioterapia")</f>
        <v>Consultório Fisioterapia</v>
      </c>
      <c r="D78" s="108" t="str">
        <f>IFERROR(__xludf.DUMMYFUNCTION("""COMPUTED_VALUE"""),"3ºPav.")</f>
        <v>3ºPav.</v>
      </c>
      <c r="E78" s="108" t="str">
        <f>IFERROR(__xludf.DUMMYFUNCTION("""COMPUTED_VALUE"""),"A")</f>
        <v>A</v>
      </c>
      <c r="F78" s="108"/>
      <c r="G78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26ac35f65b8f4d7c883cffed1d160157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26ac35f65b8f4d7c883cffed1d160157&amp;showComments=1&amp;guid=6882be48-6626-5238-d3df-94e9f0a0019d</v>
      </c>
      <c r="H78" s="108" t="str">
        <f>IFERROR(__xludf.DUMMYFUNCTION("""COMPUTED_VALUE"""),"Consultório")</f>
        <v>Consultório</v>
      </c>
      <c r="I78" s="108"/>
      <c r="J78" s="108"/>
    </row>
    <row r="79">
      <c r="A79" s="109" t="str">
        <f>IFERROR(__xludf.DUMMYFUNCTION("""COMPUTED_VALUE"""),"3ºPav.-Consultório Indiferenciado 12")</f>
        <v>3ºPav.-Consultório Indiferenciado 12</v>
      </c>
      <c r="B79" s="108" t="str">
        <f>IFERROR(__xludf.DUMMYFUNCTION("""COMPUTED_VALUE"""),"3ºPav.")</f>
        <v>3ºPav.</v>
      </c>
      <c r="C79" s="108" t="str">
        <f>IFERROR(__xludf.DUMMYFUNCTION("""COMPUTED_VALUE"""),"Consultório Indiferenciado 12")</f>
        <v>Consultório Indiferenciado 12</v>
      </c>
      <c r="D79" s="108" t="str">
        <f>IFERROR(__xludf.DUMMYFUNCTION("""COMPUTED_VALUE"""),"3ºPav.")</f>
        <v>3ºPav.</v>
      </c>
      <c r="E79" s="108" t="str">
        <f>IFERROR(__xludf.DUMMYFUNCTION("""COMPUTED_VALUE"""),"B")</f>
        <v>B</v>
      </c>
      <c r="F79" s="108"/>
      <c r="G79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5bceac155e664c69a4705a27e4421c5d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5bceac155e664c69a4705a27e4421c5d&amp;showComments=1&amp;guid=6882be48-6626-5238-d3df-94e9f0a0019d</v>
      </c>
      <c r="H79" s="108" t="str">
        <f>IFERROR(__xludf.DUMMYFUNCTION("""COMPUTED_VALUE"""),"Consultório")</f>
        <v>Consultório</v>
      </c>
      <c r="I79" s="108"/>
      <c r="J79" s="108"/>
    </row>
    <row r="80">
      <c r="A80" s="109" t="str">
        <f>IFERROR(__xludf.DUMMYFUNCTION("""COMPUTED_VALUE"""),"3ºPav.-Consultório Indiferenciado 13")</f>
        <v>3ºPav.-Consultório Indiferenciado 13</v>
      </c>
      <c r="B80" s="108" t="str">
        <f>IFERROR(__xludf.DUMMYFUNCTION("""COMPUTED_VALUE"""),"3ºPav.")</f>
        <v>3ºPav.</v>
      </c>
      <c r="C80" s="108" t="str">
        <f>IFERROR(__xludf.DUMMYFUNCTION("""COMPUTED_VALUE"""),"Consultório Indiferenciado 13")</f>
        <v>Consultório Indiferenciado 13</v>
      </c>
      <c r="D80" s="108" t="str">
        <f>IFERROR(__xludf.DUMMYFUNCTION("""COMPUTED_VALUE"""),"3ºPav.")</f>
        <v>3ºPav.</v>
      </c>
      <c r="E80" s="108" t="str">
        <f>IFERROR(__xludf.DUMMYFUNCTION("""COMPUTED_VALUE"""),"A")</f>
        <v>A</v>
      </c>
      <c r="F80" s="108"/>
      <c r="G80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71827795bf334ea985a6ad52c268b208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71827795bf334ea985a6ad52c268b208&amp;showComments=1&amp;guid=6882be48-6626-5238-d3df-94e9f0a0019d</v>
      </c>
      <c r="H80" s="108" t="str">
        <f>IFERROR(__xludf.DUMMYFUNCTION("""COMPUTED_VALUE"""),"Consultório")</f>
        <v>Consultório</v>
      </c>
      <c r="I80" s="108"/>
      <c r="J80" s="108"/>
    </row>
    <row r="81">
      <c r="A81" s="109" t="str">
        <f>IFERROR(__xludf.DUMMYFUNCTION("""COMPUTED_VALUE"""),"3ºPav.-Consultório Indiferenciado 14")</f>
        <v>3ºPav.-Consultório Indiferenciado 14</v>
      </c>
      <c r="B81" s="108" t="str">
        <f>IFERROR(__xludf.DUMMYFUNCTION("""COMPUTED_VALUE"""),"3ºPav.")</f>
        <v>3ºPav.</v>
      </c>
      <c r="C81" s="108" t="str">
        <f>IFERROR(__xludf.DUMMYFUNCTION("""COMPUTED_VALUE"""),"Consultório Indiferenciado 14")</f>
        <v>Consultório Indiferenciado 14</v>
      </c>
      <c r="D81" s="108" t="str">
        <f>IFERROR(__xludf.DUMMYFUNCTION("""COMPUTED_VALUE"""),"3ºPav.")</f>
        <v>3ºPav.</v>
      </c>
      <c r="E81" s="108" t="str">
        <f>IFERROR(__xludf.DUMMYFUNCTION("""COMPUTED_VALUE"""),"A")</f>
        <v>A</v>
      </c>
      <c r="F81" s="108"/>
      <c r="G81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c4f5413f07484eba9f871ddb7639af09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c4f5413f07484eba9f871ddb7639af09&amp;showComments=1&amp;guid=6882be48-6626-5238-d3df-94e9f0a0019d</v>
      </c>
      <c r="H81" s="108" t="str">
        <f>IFERROR(__xludf.DUMMYFUNCTION("""COMPUTED_VALUE"""),"Consultório")</f>
        <v>Consultório</v>
      </c>
      <c r="I81" s="108"/>
      <c r="J81" s="108"/>
    </row>
    <row r="82">
      <c r="A82" s="109" t="str">
        <f>IFERROR(__xludf.DUMMYFUNCTION("""COMPUTED_VALUE"""),"3ºPav.-Consultório Indiferenciado 15")</f>
        <v>3ºPav.-Consultório Indiferenciado 15</v>
      </c>
      <c r="B82" s="108" t="str">
        <f>IFERROR(__xludf.DUMMYFUNCTION("""COMPUTED_VALUE"""),"3ºPav.")</f>
        <v>3ºPav.</v>
      </c>
      <c r="C82" s="108" t="str">
        <f>IFERROR(__xludf.DUMMYFUNCTION("""COMPUTED_VALUE"""),"Consultório Indiferenciado 15")</f>
        <v>Consultório Indiferenciado 15</v>
      </c>
      <c r="D82" s="108" t="str">
        <f>IFERROR(__xludf.DUMMYFUNCTION("""COMPUTED_VALUE"""),"3ºPav.")</f>
        <v>3ºPav.</v>
      </c>
      <c r="E82" s="108" t="str">
        <f>IFERROR(__xludf.DUMMYFUNCTION("""COMPUTED_VALUE"""),"A")</f>
        <v>A</v>
      </c>
      <c r="F82" s="108"/>
      <c r="G82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1af52018a5de4fbb82897399edb77179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1af52018a5de4fbb82897399edb77179&amp;showComments=1&amp;guid=6882be48-6626-5238-d3df-94e9f0a0019d</v>
      </c>
      <c r="H82" s="108" t="str">
        <f>IFERROR(__xludf.DUMMYFUNCTION("""COMPUTED_VALUE"""),"Consultório")</f>
        <v>Consultório</v>
      </c>
      <c r="I82" s="108"/>
      <c r="J82" s="108"/>
    </row>
    <row r="83">
      <c r="A83" s="109" t="str">
        <f>IFERROR(__xludf.DUMMYFUNCTION("""COMPUTED_VALUE"""),"3ºPav.-Consultório Indiferenciado 16")</f>
        <v>3ºPav.-Consultório Indiferenciado 16</v>
      </c>
      <c r="B83" s="108" t="str">
        <f>IFERROR(__xludf.DUMMYFUNCTION("""COMPUTED_VALUE"""),"3ºPav.")</f>
        <v>3ºPav.</v>
      </c>
      <c r="C83" s="108" t="str">
        <f>IFERROR(__xludf.DUMMYFUNCTION("""COMPUTED_VALUE"""),"Consultório Indiferenciado 16")</f>
        <v>Consultório Indiferenciado 16</v>
      </c>
      <c r="D83" s="108" t="str">
        <f>IFERROR(__xludf.DUMMYFUNCTION("""COMPUTED_VALUE"""),"3ºPav.")</f>
        <v>3ºPav.</v>
      </c>
      <c r="E83" s="108" t="str">
        <f>IFERROR(__xludf.DUMMYFUNCTION("""COMPUTED_VALUE"""),"A")</f>
        <v>A</v>
      </c>
      <c r="F83" s="108"/>
      <c r="G83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141cc1adbf2942a385c5044a06f530bd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141cc1adbf2942a385c5044a06f530bd&amp;showComments=1&amp;guid=6882be48-6626-5238-d3df-94e9f0a0019d</v>
      </c>
      <c r="H83" s="108" t="str">
        <f>IFERROR(__xludf.DUMMYFUNCTION("""COMPUTED_VALUE"""),"Consultório")</f>
        <v>Consultório</v>
      </c>
      <c r="I83" s="108"/>
      <c r="J83" s="108"/>
    </row>
    <row r="84">
      <c r="A84" s="109" t="str">
        <f>IFERROR(__xludf.DUMMYFUNCTION("""COMPUTED_VALUE"""),"3ºPav.-Consultório Indiferenciado 4")</f>
        <v>3ºPav.-Consultório Indiferenciado 4</v>
      </c>
      <c r="B84" s="108" t="str">
        <f>IFERROR(__xludf.DUMMYFUNCTION("""COMPUTED_VALUE"""),"3ºPav.")</f>
        <v>3ºPav.</v>
      </c>
      <c r="C84" s="108" t="str">
        <f>IFERROR(__xludf.DUMMYFUNCTION("""COMPUTED_VALUE"""),"Consultório Indiferenciado 4")</f>
        <v>Consultório Indiferenciado 4</v>
      </c>
      <c r="D84" s="108" t="str">
        <f>IFERROR(__xludf.DUMMYFUNCTION("""COMPUTED_VALUE"""),"3ºPav.")</f>
        <v>3ºPav.</v>
      </c>
      <c r="E84" s="108" t="str">
        <f>IFERROR(__xludf.DUMMYFUNCTION("""COMPUTED_VALUE"""),"B")</f>
        <v>B</v>
      </c>
      <c r="F84" s="108"/>
      <c r="G84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63f33d458fb94158a8d3541daa61d009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63f33d458fb94158a8d3541daa61d009&amp;showComments=1&amp;guid=6882be48-6626-5238-d3df-94e9f0a0019d</v>
      </c>
      <c r="H84" s="108" t="str">
        <f>IFERROR(__xludf.DUMMYFUNCTION("""COMPUTED_VALUE"""),"Consultório")</f>
        <v>Consultório</v>
      </c>
      <c r="I84" s="108"/>
      <c r="J84" s="108"/>
    </row>
    <row r="85">
      <c r="A85" s="109" t="str">
        <f>IFERROR(__xludf.DUMMYFUNCTION("""COMPUTED_VALUE"""),"3ºPav.-Consultório Indiferenciado 5")</f>
        <v>3ºPav.-Consultório Indiferenciado 5</v>
      </c>
      <c r="B85" s="108" t="str">
        <f>IFERROR(__xludf.DUMMYFUNCTION("""COMPUTED_VALUE"""),"3ºPav.")</f>
        <v>3ºPav.</v>
      </c>
      <c r="C85" s="108" t="str">
        <f>IFERROR(__xludf.DUMMYFUNCTION("""COMPUTED_VALUE"""),"Consultório Indiferenciado 5")</f>
        <v>Consultório Indiferenciado 5</v>
      </c>
      <c r="D85" s="108" t="str">
        <f>IFERROR(__xludf.DUMMYFUNCTION("""COMPUTED_VALUE"""),"3ºPav.")</f>
        <v>3ºPav.</v>
      </c>
      <c r="E85" s="108" t="str">
        <f>IFERROR(__xludf.DUMMYFUNCTION("""COMPUTED_VALUE"""),"A")</f>
        <v>A</v>
      </c>
      <c r="F85" s="108"/>
      <c r="G85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f4469f4485394ab680150eb5d162df48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f4469f4485394ab680150eb5d162df48&amp;showComments=1&amp;guid=6882be48-6626-5238-d3df-94e9f0a0019d</v>
      </c>
      <c r="H85" s="108" t="str">
        <f>IFERROR(__xludf.DUMMYFUNCTION("""COMPUTED_VALUE"""),"Consultório")</f>
        <v>Consultório</v>
      </c>
      <c r="I85" s="108"/>
      <c r="J85" s="108"/>
    </row>
    <row r="86">
      <c r="A86" s="109" t="str">
        <f>IFERROR(__xludf.DUMMYFUNCTION("""COMPUTED_VALUE"""),"3ºPav.-Consultório Indiferenciado 6")</f>
        <v>3ºPav.-Consultório Indiferenciado 6</v>
      </c>
      <c r="B86" s="108" t="str">
        <f>IFERROR(__xludf.DUMMYFUNCTION("""COMPUTED_VALUE"""),"3ºPav.")</f>
        <v>3ºPav.</v>
      </c>
      <c r="C86" s="108" t="str">
        <f>IFERROR(__xludf.DUMMYFUNCTION("""COMPUTED_VALUE"""),"Consultório Indiferenciado 6")</f>
        <v>Consultório Indiferenciado 6</v>
      </c>
      <c r="D86" s="108" t="str">
        <f>IFERROR(__xludf.DUMMYFUNCTION("""COMPUTED_VALUE"""),"3ºPav.")</f>
        <v>3ºPav.</v>
      </c>
      <c r="E86" s="108" t="str">
        <f>IFERROR(__xludf.DUMMYFUNCTION("""COMPUTED_VALUE"""),"A")</f>
        <v>A</v>
      </c>
      <c r="F86" s="108"/>
      <c r="G86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c9c9dd7c9f164efda0a4661e234f2e84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c9c9dd7c9f164efda0a4661e234f2e84&amp;showComments=1&amp;guid=6882be48-6626-5238-d3df-94e9f0a0019d</v>
      </c>
      <c r="H86" s="108" t="str">
        <f>IFERROR(__xludf.DUMMYFUNCTION("""COMPUTED_VALUE"""),"Consultório")</f>
        <v>Consultório</v>
      </c>
      <c r="I86" s="108"/>
      <c r="J86" s="108"/>
    </row>
    <row r="87">
      <c r="A87" s="109" t="str">
        <f>IFERROR(__xludf.DUMMYFUNCTION("""COMPUTED_VALUE"""),"3ºPav.-Consultório Indiferenciado 7")</f>
        <v>3ºPav.-Consultório Indiferenciado 7</v>
      </c>
      <c r="B87" s="108" t="str">
        <f>IFERROR(__xludf.DUMMYFUNCTION("""COMPUTED_VALUE"""),"3ºPav.")</f>
        <v>3ºPav.</v>
      </c>
      <c r="C87" s="108" t="str">
        <f>IFERROR(__xludf.DUMMYFUNCTION("""COMPUTED_VALUE"""),"Consultório Indiferenciado 7")</f>
        <v>Consultório Indiferenciado 7</v>
      </c>
      <c r="D87" s="108" t="str">
        <f>IFERROR(__xludf.DUMMYFUNCTION("""COMPUTED_VALUE"""),"3ºPav.")</f>
        <v>3ºPav.</v>
      </c>
      <c r="E87" s="108" t="str">
        <f>IFERROR(__xludf.DUMMYFUNCTION("""COMPUTED_VALUE"""),"A")</f>
        <v>A</v>
      </c>
      <c r="F87" s="108"/>
      <c r="G87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aa60f964cade46adaf76b3657caed2c8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aa60f964cade46adaf76b3657caed2c8&amp;showComments=1&amp;guid=6882be48-6626-5238-d3df-94e9f0a0019d</v>
      </c>
      <c r="H87" s="108" t="str">
        <f>IFERROR(__xludf.DUMMYFUNCTION("""COMPUTED_VALUE"""),"Consultório")</f>
        <v>Consultório</v>
      </c>
      <c r="I87" s="108"/>
      <c r="J87" s="108"/>
    </row>
    <row r="88">
      <c r="A88" s="109" t="str">
        <f>IFERROR(__xludf.DUMMYFUNCTION("""COMPUTED_VALUE"""),"3ºPav.-Consultório Indiferenciado 8")</f>
        <v>3ºPav.-Consultório Indiferenciado 8</v>
      </c>
      <c r="B88" s="108" t="str">
        <f>IFERROR(__xludf.DUMMYFUNCTION("""COMPUTED_VALUE"""),"3ºPav.")</f>
        <v>3ºPav.</v>
      </c>
      <c r="C88" s="108" t="str">
        <f>IFERROR(__xludf.DUMMYFUNCTION("""COMPUTED_VALUE"""),"Consultório Indiferenciado 8")</f>
        <v>Consultório Indiferenciado 8</v>
      </c>
      <c r="D88" s="108" t="str">
        <f>IFERROR(__xludf.DUMMYFUNCTION("""COMPUTED_VALUE"""),"3ºPav.")</f>
        <v>3ºPav.</v>
      </c>
      <c r="E88" s="108" t="str">
        <f>IFERROR(__xludf.DUMMYFUNCTION("""COMPUTED_VALUE"""),"A")</f>
        <v>A</v>
      </c>
      <c r="F88" s="108"/>
      <c r="G88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78ba8dd35681408aad95c90999d4302a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78ba8dd35681408aad95c90999d4302a&amp;showComments=1&amp;guid=6882be48-6626-5238-d3df-94e9f0a0019d</v>
      </c>
      <c r="H88" s="108" t="str">
        <f>IFERROR(__xludf.DUMMYFUNCTION("""COMPUTED_VALUE"""),"Consultório")</f>
        <v>Consultório</v>
      </c>
      <c r="I88" s="108"/>
      <c r="J88" s="108"/>
    </row>
    <row r="89">
      <c r="A89" s="109" t="str">
        <f>IFERROR(__xludf.DUMMYFUNCTION("""COMPUTED_VALUE"""),"3ºPav.-Consultório Odontológico")</f>
        <v>3ºPav.-Consultório Odontológico</v>
      </c>
      <c r="B89" s="108" t="str">
        <f>IFERROR(__xludf.DUMMYFUNCTION("""COMPUTED_VALUE"""),"3ºPav.")</f>
        <v>3ºPav.</v>
      </c>
      <c r="C89" s="108" t="str">
        <f>IFERROR(__xludf.DUMMYFUNCTION("""COMPUTED_VALUE"""),"Consultório Odontológico")</f>
        <v>Consultório Odontológico</v>
      </c>
      <c r="D89" s="108" t="str">
        <f>IFERROR(__xludf.DUMMYFUNCTION("""COMPUTED_VALUE"""),"3ºPav.")</f>
        <v>3ºPav.</v>
      </c>
      <c r="E89" s="108" t="str">
        <f>IFERROR(__xludf.DUMMYFUNCTION("""COMPUTED_VALUE"""),"A")</f>
        <v>A</v>
      </c>
      <c r="F89" s="108"/>
      <c r="G89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4893ba2ef62842cab2405e17a759b047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4893ba2ef62842cab2405e17a759b047&amp;showComments=1&amp;guid=6882be48-6626-5238-d3df-94e9f0a0019d</v>
      </c>
      <c r="H89" s="108" t="str">
        <f>IFERROR(__xludf.DUMMYFUNCTION("""COMPUTED_VALUE"""),"Consultório")</f>
        <v>Consultório</v>
      </c>
      <c r="I89" s="108"/>
      <c r="J89" s="108"/>
    </row>
    <row r="90">
      <c r="A90" s="109" t="str">
        <f>IFERROR(__xludf.DUMMYFUNCTION("""COMPUTED_VALUE"""),"3ºPav.-Consultório Psicologia")</f>
        <v>3ºPav.-Consultório Psicologia</v>
      </c>
      <c r="B90" s="108" t="str">
        <f>IFERROR(__xludf.DUMMYFUNCTION("""COMPUTED_VALUE"""),"3ºPav.")</f>
        <v>3ºPav.</v>
      </c>
      <c r="C90" s="108" t="str">
        <f>IFERROR(__xludf.DUMMYFUNCTION("""COMPUTED_VALUE"""),"Consultório Psicologia")</f>
        <v>Consultório Psicologia</v>
      </c>
      <c r="D90" s="108" t="str">
        <f>IFERROR(__xludf.DUMMYFUNCTION("""COMPUTED_VALUE"""),"3ºPav.")</f>
        <v>3ºPav.</v>
      </c>
      <c r="E90" s="108" t="str">
        <f>IFERROR(__xludf.DUMMYFUNCTION("""COMPUTED_VALUE"""),"A")</f>
        <v>A</v>
      </c>
      <c r="F90" s="108"/>
      <c r="G90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d35d72a04b6f41339afbeec830556db5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d35d72a04b6f41339afbeec830556db5&amp;showComments=1&amp;guid=6882be48-6626-5238-d3df-94e9f0a0019d</v>
      </c>
      <c r="H90" s="108" t="str">
        <f>IFERROR(__xludf.DUMMYFUNCTION("""COMPUTED_VALUE"""),"Consultório")</f>
        <v>Consultório</v>
      </c>
      <c r="I90" s="108"/>
      <c r="J90" s="108"/>
    </row>
    <row r="91">
      <c r="A91" s="109" t="str">
        <f>IFERROR(__xludf.DUMMYFUNCTION("""COMPUTED_VALUE"""),"3ºPav.-Copa Funcionários")</f>
        <v>3ºPav.-Copa Funcionários</v>
      </c>
      <c r="B91" s="108" t="str">
        <f>IFERROR(__xludf.DUMMYFUNCTION("""COMPUTED_VALUE"""),"3ºPav.")</f>
        <v>3ºPav.</v>
      </c>
      <c r="C91" s="108" t="str">
        <f>IFERROR(__xludf.DUMMYFUNCTION("""COMPUTED_VALUE"""),"Copa Funcionários")</f>
        <v>Copa Funcionários</v>
      </c>
      <c r="D91" s="108" t="str">
        <f>IFERROR(__xludf.DUMMYFUNCTION("""COMPUTED_VALUE"""),"3ºPav.")</f>
        <v>3ºPav.</v>
      </c>
      <c r="E91" s="108" t="str">
        <f>IFERROR(__xludf.DUMMYFUNCTION("""COMPUTED_VALUE"""),"B")</f>
        <v>B</v>
      </c>
      <c r="F91" s="108"/>
      <c r="G91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71c034f6ba2d41aea687092d6ca80a0c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71c034f6ba2d41aea687092d6ca80a0c&amp;showComments=1&amp;guid=6882be48-6626-5238-d3df-94e9f0a0019d</v>
      </c>
      <c r="H91" s="108" t="str">
        <f>IFERROR(__xludf.DUMMYFUNCTION("""COMPUTED_VALUE"""),"Copa")</f>
        <v>Copa</v>
      </c>
      <c r="I91" s="108"/>
      <c r="J91" s="108"/>
    </row>
    <row r="92">
      <c r="A92" s="109" t="str">
        <f>IFERROR(__xludf.DUMMYFUNCTION("""COMPUTED_VALUE"""),"3ºPav.-Corredor Central")</f>
        <v>3ºPav.-Corredor Central</v>
      </c>
      <c r="B92" s="108" t="str">
        <f>IFERROR(__xludf.DUMMYFUNCTION("""COMPUTED_VALUE"""),"3ºPav.")</f>
        <v>3ºPav.</v>
      </c>
      <c r="C92" s="108" t="str">
        <f>IFERROR(__xludf.DUMMYFUNCTION("""COMPUTED_VALUE"""),"Corredor Central")</f>
        <v>Corredor Central</v>
      </c>
      <c r="D92" s="108" t="str">
        <f>IFERROR(__xludf.DUMMYFUNCTION("""COMPUTED_VALUE"""),"3ºPav.")</f>
        <v>3ºPav.</v>
      </c>
      <c r="E92" s="108" t="str">
        <f>IFERROR(__xludf.DUMMYFUNCTION("""COMPUTED_VALUE"""),"A")</f>
        <v>A</v>
      </c>
      <c r="F92" s="108">
        <f>IFERROR(__xludf.DUMMYFUNCTION("""COMPUTED_VALUE"""),70.0)</f>
        <v>70</v>
      </c>
      <c r="G92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ff3880cb1f3947b5b69a95daf6318667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ff3880cb1f3947b5b69a95daf6318667&amp;showComments=1&amp;guid=6882be48-6626-5238-d3df-94e9f0a0019d</v>
      </c>
      <c r="H92" s="108" t="str">
        <f>IFERROR(__xludf.DUMMYFUNCTION("""COMPUTED_VALUE"""),"Circulação / Corredores")</f>
        <v>Circulação / Corredores</v>
      </c>
      <c r="I92" s="109" t="str">
        <f>IFERROR(__xludf.DUMMYFUNCTION("""COMPUTED_VALUE"""),"https://photos.google.com/search/3%C2%BAPav.-Corredor%20Central")</f>
        <v>https://photos.google.com/search/3%C2%BAPav.-Corredor%20Central</v>
      </c>
      <c r="J92" s="108"/>
    </row>
    <row r="93">
      <c r="A93" s="109" t="str">
        <f>IFERROR(__xludf.DUMMYFUNCTION("""COMPUTED_VALUE"""),"3ºPav.-Corredor Frente")</f>
        <v>3ºPav.-Corredor Frente</v>
      </c>
      <c r="B93" s="108" t="str">
        <f>IFERROR(__xludf.DUMMYFUNCTION("""COMPUTED_VALUE"""),"3ºPav.")</f>
        <v>3ºPav.</v>
      </c>
      <c r="C93" s="108" t="str">
        <f>IFERROR(__xludf.DUMMYFUNCTION("""COMPUTED_VALUE"""),"Corredor Frente")</f>
        <v>Corredor Frente</v>
      </c>
      <c r="D93" s="108" t="str">
        <f>IFERROR(__xludf.DUMMYFUNCTION("""COMPUTED_VALUE"""),"3ºPav.")</f>
        <v>3ºPav.</v>
      </c>
      <c r="E93" s="108" t="str">
        <f>IFERROR(__xludf.DUMMYFUNCTION("""COMPUTED_VALUE"""),"A")</f>
        <v>A</v>
      </c>
      <c r="F93" s="108">
        <f>IFERROR(__xludf.DUMMYFUNCTION("""COMPUTED_VALUE"""),69.0)</f>
        <v>69</v>
      </c>
      <c r="G93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cbb9c2576428415a8d6c900992198405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cbb9c2576428415a8d6c900992198405&amp;showComments=1&amp;guid=6882be48-6626-5238-d3df-94e9f0a0019d</v>
      </c>
      <c r="H93" s="108" t="str">
        <f>IFERROR(__xludf.DUMMYFUNCTION("""COMPUTED_VALUE"""),"Circulação / Corredores")</f>
        <v>Circulação / Corredores</v>
      </c>
      <c r="I93" s="108"/>
      <c r="J93" s="108"/>
    </row>
    <row r="94">
      <c r="A94" s="109" t="str">
        <f>IFERROR(__xludf.DUMMYFUNCTION("""COMPUTED_VALUE"""),"3ºPav.-Corredor Fundos")</f>
        <v>3ºPav.-Corredor Fundos</v>
      </c>
      <c r="B94" s="108" t="str">
        <f>IFERROR(__xludf.DUMMYFUNCTION("""COMPUTED_VALUE"""),"3ºPav.")</f>
        <v>3ºPav.</v>
      </c>
      <c r="C94" s="108" t="str">
        <f>IFERROR(__xludf.DUMMYFUNCTION("""COMPUTED_VALUE"""),"Corredor Fundos")</f>
        <v>Corredor Fundos</v>
      </c>
      <c r="D94" s="108" t="str">
        <f>IFERROR(__xludf.DUMMYFUNCTION("""COMPUTED_VALUE"""),"3ºPav.")</f>
        <v>3ºPav.</v>
      </c>
      <c r="E94" s="108" t="str">
        <f>IFERROR(__xludf.DUMMYFUNCTION("""COMPUTED_VALUE"""),"A")</f>
        <v>A</v>
      </c>
      <c r="F94" s="108">
        <f>IFERROR(__xludf.DUMMYFUNCTION("""COMPUTED_VALUE"""),71.0)</f>
        <v>71</v>
      </c>
      <c r="G94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d8d5a6430e5d46ada657e1f95f393664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d8d5a6430e5d46ada657e1f95f393664&amp;showComments=1&amp;guid=6882be48-6626-5238-d3df-94e9f0a0019d</v>
      </c>
      <c r="H94" s="108" t="str">
        <f>IFERROR(__xludf.DUMMYFUNCTION("""COMPUTED_VALUE"""),"Circulação / Corredores")</f>
        <v>Circulação / Corredores</v>
      </c>
      <c r="I94" s="108"/>
      <c r="J94" s="108"/>
    </row>
    <row r="95">
      <c r="A95" s="109" t="str">
        <f>IFERROR(__xludf.DUMMYFUNCTION("""COMPUTED_VALUE"""),"3ºPav.-Depósito")</f>
        <v>3ºPav.-Depósito</v>
      </c>
      <c r="B95" s="108" t="str">
        <f>IFERROR(__xludf.DUMMYFUNCTION("""COMPUTED_VALUE"""),"3ºPav.")</f>
        <v>3ºPav.</v>
      </c>
      <c r="C95" s="108" t="str">
        <f>IFERROR(__xludf.DUMMYFUNCTION("""COMPUTED_VALUE"""),"Depósito")</f>
        <v>Depósito</v>
      </c>
      <c r="D95" s="108" t="str">
        <f>IFERROR(__xludf.DUMMYFUNCTION("""COMPUTED_VALUE"""),"3ºPav.")</f>
        <v>3ºPav.</v>
      </c>
      <c r="E95" s="108" t="str">
        <f>IFERROR(__xludf.DUMMYFUNCTION("""COMPUTED_VALUE"""),"A")</f>
        <v>A</v>
      </c>
      <c r="F95" s="108">
        <f>IFERROR(__xludf.DUMMYFUNCTION("""COMPUTED_VALUE"""),62.0)</f>
        <v>62</v>
      </c>
      <c r="G95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7d843fd1ac5d46579b54ff385380cfb8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7d843fd1ac5d46579b54ff385380cfb8&amp;showComments=1&amp;guid=6882be48-6626-5238-d3df-94e9f0a0019d</v>
      </c>
      <c r="H95" s="108" t="str">
        <f>IFERROR(__xludf.DUMMYFUNCTION("""COMPUTED_VALUE"""),"Depósito")</f>
        <v>Depósito</v>
      </c>
      <c r="I95" s="108"/>
      <c r="J95" s="108"/>
    </row>
    <row r="96">
      <c r="A96" s="109" t="str">
        <f>IFERROR(__xludf.DUMMYFUNCTION("""COMPUTED_VALUE"""),"3ºPav.-Depósito Temporário de Resíduos")</f>
        <v>3ºPav.-Depósito Temporário de Resíduos</v>
      </c>
      <c r="B96" s="108" t="str">
        <f>IFERROR(__xludf.DUMMYFUNCTION("""COMPUTED_VALUE"""),"3ºPav.")</f>
        <v>3ºPav.</v>
      </c>
      <c r="C96" s="108" t="str">
        <f>IFERROR(__xludf.DUMMYFUNCTION("""COMPUTED_VALUE"""),"Depósito Temporário de Resíduos")</f>
        <v>Depósito Temporário de Resíduos</v>
      </c>
      <c r="D96" s="108" t="str">
        <f>IFERROR(__xludf.DUMMYFUNCTION("""COMPUTED_VALUE"""),"3ºPav.")</f>
        <v>3ºPav.</v>
      </c>
      <c r="E96" s="108" t="str">
        <f>IFERROR(__xludf.DUMMYFUNCTION("""COMPUTED_VALUE"""),"A")</f>
        <v>A</v>
      </c>
      <c r="F96" s="108">
        <f>IFERROR(__xludf.DUMMYFUNCTION("""COMPUTED_VALUE"""),33.0)</f>
        <v>33</v>
      </c>
      <c r="G96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ff510b0ebadb4c6ba4272cb191266583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ff510b0ebadb4c6ba4272cb191266583&amp;showComments=1&amp;guid=6882be48-6626-5238-d3df-94e9f0a0019d</v>
      </c>
      <c r="H96" s="108" t="str">
        <f>IFERROR(__xludf.DUMMYFUNCTION("""COMPUTED_VALUE"""),"Depósito")</f>
        <v>Depósito</v>
      </c>
      <c r="I96" s="108"/>
      <c r="J96" s="108"/>
    </row>
    <row r="97">
      <c r="A97" s="109" t="str">
        <f>IFERROR(__xludf.DUMMYFUNCTION("""COMPUTED_VALUE"""),"3ºPav.-DML")</f>
        <v>3ºPav.-DML</v>
      </c>
      <c r="B97" s="108" t="str">
        <f>IFERROR(__xludf.DUMMYFUNCTION("""COMPUTED_VALUE"""),"3ºPav.")</f>
        <v>3ºPav.</v>
      </c>
      <c r="C97" s="108" t="str">
        <f>IFERROR(__xludf.DUMMYFUNCTION("""COMPUTED_VALUE"""),"DML")</f>
        <v>DML</v>
      </c>
      <c r="D97" s="108" t="str">
        <f>IFERROR(__xludf.DUMMYFUNCTION("""COMPUTED_VALUE"""),"3ºPav.")</f>
        <v>3ºPav.</v>
      </c>
      <c r="E97" s="108" t="str">
        <f>IFERROR(__xludf.DUMMYFUNCTION("""COMPUTED_VALUE"""),"B")</f>
        <v>B</v>
      </c>
      <c r="F97" s="108"/>
      <c r="G97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2e4a8f2c24584f669eb296d688eaf268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2e4a8f2c24584f669eb296d688eaf268&amp;showComments=1&amp;guid=6882be48-6626-5238-d3df-94e9f0a0019d</v>
      </c>
      <c r="H97" s="108" t="str">
        <f>IFERROR(__xludf.DUMMYFUNCTION("""COMPUTED_VALUE"""),"Outros")</f>
        <v>Outros</v>
      </c>
      <c r="I97" s="108"/>
      <c r="J97" s="108"/>
    </row>
    <row r="98">
      <c r="A98" s="109" t="str">
        <f>IFERROR(__xludf.DUMMYFUNCTION("""COMPUTED_VALUE"""),"3ºPav.-Escada Prova de Fogo Setor B")</f>
        <v>3ºPav.-Escada Prova de Fogo Setor B</v>
      </c>
      <c r="B98" s="108" t="str">
        <f>IFERROR(__xludf.DUMMYFUNCTION("""COMPUTED_VALUE"""),"3ºPav.")</f>
        <v>3ºPav.</v>
      </c>
      <c r="C98" s="108" t="str">
        <f>IFERROR(__xludf.DUMMYFUNCTION("""COMPUTED_VALUE"""),"Escada Prova de Fogo Setor B")</f>
        <v>Escada Prova de Fogo Setor B</v>
      </c>
      <c r="D98" s="108" t="str">
        <f>IFERROR(__xludf.DUMMYFUNCTION("""COMPUTED_VALUE"""),"3ºPav.")</f>
        <v>3ºPav.</v>
      </c>
      <c r="E98" s="108" t="str">
        <f>IFERROR(__xludf.DUMMYFUNCTION("""COMPUTED_VALUE"""),"B")</f>
        <v>B</v>
      </c>
      <c r="F98" s="108">
        <f>IFERROR(__xludf.DUMMYFUNCTION("""COMPUTED_VALUE"""),76.0)</f>
        <v>76</v>
      </c>
      <c r="G98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showComments=1&amp;guid=6882b"&amp;"e48-6626-5238-d3df-94e9f0a0019d&amp;commentId=urn:adsk.comments:social.comment:0a0a4d5e846440809815781a23e21685")</f>
        <v>https://myhub.autodesk360.com/ue29d95bb/g/projects/20210514412106331/data/dXJuOmFkc2sud2lwcHJvZDpmcy5mb2xkZXI6Y28ucU04eGNtQzdReXliS0NURmJQYUFTQQ/dXJuOmFkc2sud2lwcHJvZDpkbS5saW5lYWdlOnVra1VxSVhpUnF1LWxsVktOREhscFE/viewer?version=1&amp;showComments=1&amp;guid=6882be48-6626-5238-d3df-94e9f0a0019d&amp;commentId=urn:adsk.comments:social.comment:0a0a4d5e846440809815781a23e21685</v>
      </c>
      <c r="H98" s="108" t="str">
        <f>IFERROR(__xludf.DUMMYFUNCTION("""COMPUTED_VALUE"""),"Escadas")</f>
        <v>Escadas</v>
      </c>
      <c r="I98" s="108"/>
      <c r="J98" s="108"/>
    </row>
    <row r="99">
      <c r="A99" s="109" t="str">
        <f>IFERROR(__xludf.DUMMYFUNCTION("""COMPUTED_VALUE"""),"3ºPav.-Hall Elevador Público")</f>
        <v>3ºPav.-Hall Elevador Público</v>
      </c>
      <c r="B99" s="108" t="str">
        <f>IFERROR(__xludf.DUMMYFUNCTION("""COMPUTED_VALUE"""),"3ºPav.")</f>
        <v>3ºPav.</v>
      </c>
      <c r="C99" s="108" t="str">
        <f>IFERROR(__xludf.DUMMYFUNCTION("""COMPUTED_VALUE"""),"Hall Elevador Público")</f>
        <v>Hall Elevador Público</v>
      </c>
      <c r="D99" s="108" t="str">
        <f>IFERROR(__xludf.DUMMYFUNCTION("""COMPUTED_VALUE"""),"3ºPav.")</f>
        <v>3ºPav.</v>
      </c>
      <c r="E99" s="108" t="str">
        <f>IFERROR(__xludf.DUMMYFUNCTION("""COMPUTED_VALUE"""),"A")</f>
        <v>A</v>
      </c>
      <c r="F99" s="108">
        <f>IFERROR(__xludf.DUMMYFUNCTION("""COMPUTED_VALUE"""),75.0)</f>
        <v>75</v>
      </c>
      <c r="G99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52ff385e50a44910b8a2fe2f26b3c4b5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52ff385e50a44910b8a2fe2f26b3c4b5&amp;showComments=1&amp;guid=6882be48-6626-5238-d3df-94e9f0a0019d</v>
      </c>
      <c r="H99" s="108" t="str">
        <f>IFERROR(__xludf.DUMMYFUNCTION("""COMPUTED_VALUE"""),"Circulação / Corredores")</f>
        <v>Circulação / Corredores</v>
      </c>
      <c r="I99" s="108"/>
      <c r="J99" s="108"/>
    </row>
    <row r="100">
      <c r="A100" s="109" t="str">
        <f>IFERROR(__xludf.DUMMYFUNCTION("""COMPUTED_VALUE"""),"3ºPav.-Hall Elevador Serviço")</f>
        <v>3ºPav.-Hall Elevador Serviço</v>
      </c>
      <c r="B100" s="108" t="str">
        <f>IFERROR(__xludf.DUMMYFUNCTION("""COMPUTED_VALUE"""),"3ºPav.")</f>
        <v>3ºPav.</v>
      </c>
      <c r="C100" s="108" t="str">
        <f>IFERROR(__xludf.DUMMYFUNCTION("""COMPUTED_VALUE"""),"Hall Elevador Serviço")</f>
        <v>Hall Elevador Serviço</v>
      </c>
      <c r="D100" s="108" t="str">
        <f>IFERROR(__xludf.DUMMYFUNCTION("""COMPUTED_VALUE"""),"3ºPav.")</f>
        <v>3ºPav.</v>
      </c>
      <c r="E100" s="108" t="str">
        <f>IFERROR(__xludf.DUMMYFUNCTION("""COMPUTED_VALUE"""),"B")</f>
        <v>B</v>
      </c>
      <c r="F100" s="108">
        <f>IFERROR(__xludf.DUMMYFUNCTION("""COMPUTED_VALUE"""),72.0)</f>
        <v>72</v>
      </c>
      <c r="G100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showComments=1&amp;guid=6882be48-6626-5238-d3df-94e9f0a0019d</v>
      </c>
      <c r="H100" s="108" t="str">
        <f>IFERROR(__xludf.DUMMYFUNCTION("""COMPUTED_VALUE"""),"Circulação / Corredores")</f>
        <v>Circulação / Corredores</v>
      </c>
      <c r="I100" s="108"/>
      <c r="J100" s="108"/>
    </row>
    <row r="101">
      <c r="A101" s="109" t="str">
        <f>IFERROR(__xludf.DUMMYFUNCTION("""COMPUTED_VALUE"""),"3ºPav.-Rouparia")</f>
        <v>3ºPav.-Rouparia</v>
      </c>
      <c r="B101" s="108" t="str">
        <f>IFERROR(__xludf.DUMMYFUNCTION("""COMPUTED_VALUE"""),"3ºPav.")</f>
        <v>3ºPav.</v>
      </c>
      <c r="C101" s="108" t="str">
        <f>IFERROR(__xludf.DUMMYFUNCTION("""COMPUTED_VALUE"""),"Rouparia")</f>
        <v>Rouparia</v>
      </c>
      <c r="D101" s="108" t="str">
        <f>IFERROR(__xludf.DUMMYFUNCTION("""COMPUTED_VALUE"""),"3ºPav.")</f>
        <v>3ºPav.</v>
      </c>
      <c r="E101" s="108" t="str">
        <f>IFERROR(__xludf.DUMMYFUNCTION("""COMPUTED_VALUE"""),"B")</f>
        <v>B</v>
      </c>
      <c r="F101" s="108"/>
      <c r="G101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fc671f25cfbb4d598e7677e9353548ec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fc671f25cfbb4d598e7677e9353548ec&amp;showComments=1&amp;guid=6882be48-6626-5238-d3df-94e9f0a0019d</v>
      </c>
      <c r="H101" s="108" t="str">
        <f>IFERROR(__xludf.DUMMYFUNCTION("""COMPUTED_VALUE"""),"Outros")</f>
        <v>Outros</v>
      </c>
      <c r="I101" s="108"/>
      <c r="J101" s="108"/>
    </row>
    <row r="102">
      <c r="A102" s="109" t="str">
        <f>IFERROR(__xludf.DUMMYFUNCTION("""COMPUTED_VALUE"""),"3ºPav.-Sala Ar Condicionado - CM3.1")</f>
        <v>3ºPav.-Sala Ar Condicionado - CM3.1</v>
      </c>
      <c r="B102" s="108" t="str">
        <f>IFERROR(__xludf.DUMMYFUNCTION("""COMPUTED_VALUE"""),"3ºPav.")</f>
        <v>3ºPav.</v>
      </c>
      <c r="C102" s="108" t="str">
        <f>IFERROR(__xludf.DUMMYFUNCTION("""COMPUTED_VALUE"""),"Sala Ar Condicionado - CM3.1")</f>
        <v>Sala Ar Condicionado - CM3.1</v>
      </c>
      <c r="D102" s="108" t="str">
        <f>IFERROR(__xludf.DUMMYFUNCTION("""COMPUTED_VALUE"""),"3ºPav.")</f>
        <v>3ºPav.</v>
      </c>
      <c r="E102" s="108" t="str">
        <f>IFERROR(__xludf.DUMMYFUNCTION("""COMPUTED_VALUE"""),"B")</f>
        <v>B</v>
      </c>
      <c r="F102" s="108">
        <f>IFERROR(__xludf.DUMMYFUNCTION("""COMPUTED_VALUE"""),63.0)</f>
        <v>63</v>
      </c>
      <c r="G102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7c921e0b9c694018a9a96ad813760ee4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7c921e0b9c694018a9a96ad813760ee4&amp;showComments=1&amp;guid=6882be48-6626-5238-d3df-94e9f0a0019d</v>
      </c>
      <c r="H102" s="108" t="str">
        <f>IFERROR(__xludf.DUMMYFUNCTION("""COMPUTED_VALUE"""),"Sala Máquina")</f>
        <v>Sala Máquina</v>
      </c>
      <c r="I102" s="109" t="str">
        <f>IFERROR(__xludf.DUMMYFUNCTION("""COMPUTED_VALUE"""),"https://photos.google.com/search/3%C2%BAPav.-Sala%20Ar%20Condicionado%20-%20CM3.1")</f>
        <v>https://photos.google.com/search/3%C2%BAPav.-Sala%20Ar%20Condicionado%20-%20CM3.1</v>
      </c>
      <c r="J102" s="108"/>
    </row>
    <row r="103">
      <c r="A103" s="109" t="str">
        <f>IFERROR(__xludf.DUMMYFUNCTION("""COMPUTED_VALUE"""),"3ºPav.-Sala Ar Condicionado - CM3.2")</f>
        <v>3ºPav.-Sala Ar Condicionado - CM3.2</v>
      </c>
      <c r="B103" s="108" t="str">
        <f>IFERROR(__xludf.DUMMYFUNCTION("""COMPUTED_VALUE"""),"3ºPav.")</f>
        <v>3ºPav.</v>
      </c>
      <c r="C103" s="108" t="str">
        <f>IFERROR(__xludf.DUMMYFUNCTION("""COMPUTED_VALUE"""),"Sala Ar Condicionado - CM3.2")</f>
        <v>Sala Ar Condicionado - CM3.2</v>
      </c>
      <c r="D103" s="108" t="str">
        <f>IFERROR(__xludf.DUMMYFUNCTION("""COMPUTED_VALUE"""),"3ºPav.")</f>
        <v>3ºPav.</v>
      </c>
      <c r="E103" s="108" t="str">
        <f>IFERROR(__xludf.DUMMYFUNCTION("""COMPUTED_VALUE"""),"B")</f>
        <v>B</v>
      </c>
      <c r="F103" s="108">
        <f>IFERROR(__xludf.DUMMYFUNCTION("""COMPUTED_VALUE"""),64.0)</f>
        <v>64</v>
      </c>
      <c r="G103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1b3b186e440545a08e4255787de4e85f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1b3b186e440545a08e4255787de4e85f&amp;showComments=1&amp;guid=6882be48-6626-5238-d3df-94e9f0a0019d</v>
      </c>
      <c r="H103" s="108" t="str">
        <f>IFERROR(__xludf.DUMMYFUNCTION("""COMPUTED_VALUE"""),"Sala Máquina")</f>
        <v>Sala Máquina</v>
      </c>
      <c r="I103" s="109" t="str">
        <f>IFERROR(__xludf.DUMMYFUNCTION("""COMPUTED_VALUE"""),"https://photos.google.com/search/3%C2%BAPav.-Sala%20Ar%20Condicionado%20-%20CM3.2")</f>
        <v>https://photos.google.com/search/3%C2%BAPav.-Sala%20Ar%20Condicionado%20-%20CM3.2</v>
      </c>
      <c r="J103" s="108"/>
    </row>
    <row r="104">
      <c r="A104" s="109" t="str">
        <f>IFERROR(__xludf.DUMMYFUNCTION("""COMPUTED_VALUE"""),"3ºPav.-Sala Ar Condicionado - CM3.3")</f>
        <v>3ºPav.-Sala Ar Condicionado - CM3.3</v>
      </c>
      <c r="B104" s="108" t="str">
        <f>IFERROR(__xludf.DUMMYFUNCTION("""COMPUTED_VALUE"""),"3ºPav.")</f>
        <v>3ºPav.</v>
      </c>
      <c r="C104" s="108" t="str">
        <f>IFERROR(__xludf.DUMMYFUNCTION("""COMPUTED_VALUE"""),"Sala Ar Condicionado - CM3.3")</f>
        <v>Sala Ar Condicionado - CM3.3</v>
      </c>
      <c r="D104" s="108" t="str">
        <f>IFERROR(__xludf.DUMMYFUNCTION("""COMPUTED_VALUE"""),"3ºPav.")</f>
        <v>3ºPav.</v>
      </c>
      <c r="E104" s="108" t="str">
        <f>IFERROR(__xludf.DUMMYFUNCTION("""COMPUTED_VALUE"""),"A")</f>
        <v>A</v>
      </c>
      <c r="F104" s="108">
        <f>IFERROR(__xludf.DUMMYFUNCTION("""COMPUTED_VALUE"""),65.0)</f>
        <v>65</v>
      </c>
      <c r="G104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ecc722e764c64abcb259723eb45d77d6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ecc722e764c64abcb259723eb45d77d6&amp;showComments=1&amp;guid=6882be48-6626-5238-d3df-94e9f0a0019d</v>
      </c>
      <c r="H104" s="108" t="str">
        <f>IFERROR(__xludf.DUMMYFUNCTION("""COMPUTED_VALUE"""),"Sala Máquina")</f>
        <v>Sala Máquina</v>
      </c>
      <c r="I104" s="109" t="str">
        <f>IFERROR(__xludf.DUMMYFUNCTION("""COMPUTED_VALUE"""),"https://photos.google.com/search/3%C2%BAPav.-Sala%20Ar%20Condicionado%20-%20CM3.3")</f>
        <v>https://photos.google.com/search/3%C2%BAPav.-Sala%20Ar%20Condicionado%20-%20CM3.3</v>
      </c>
      <c r="J104" s="108"/>
    </row>
    <row r="105">
      <c r="A105" s="109" t="str">
        <f>IFERROR(__xludf.DUMMYFUNCTION("""COMPUTED_VALUE"""),"3ºPav.-Sala Ar Condicionado - CM3.4")</f>
        <v>3ºPav.-Sala Ar Condicionado - CM3.4</v>
      </c>
      <c r="B105" s="108" t="str">
        <f>IFERROR(__xludf.DUMMYFUNCTION("""COMPUTED_VALUE"""),"3ºPav.")</f>
        <v>3ºPav.</v>
      </c>
      <c r="C105" s="108" t="str">
        <f>IFERROR(__xludf.DUMMYFUNCTION("""COMPUTED_VALUE"""),"Sala Ar Condicionado - CM3.4")</f>
        <v>Sala Ar Condicionado - CM3.4</v>
      </c>
      <c r="D105" s="108" t="str">
        <f>IFERROR(__xludf.DUMMYFUNCTION("""COMPUTED_VALUE"""),"3ºPav.")</f>
        <v>3ºPav.</v>
      </c>
      <c r="E105" s="108" t="str">
        <f>IFERROR(__xludf.DUMMYFUNCTION("""COMPUTED_VALUE"""),"A")</f>
        <v>A</v>
      </c>
      <c r="F105" s="108">
        <f>IFERROR(__xludf.DUMMYFUNCTION("""COMPUTED_VALUE"""),66.0)</f>
        <v>66</v>
      </c>
      <c r="G105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83287e360ce84f97934c3b4339cfebf0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83287e360ce84f97934c3b4339cfebf0&amp;showComments=1&amp;guid=6882be48-6626-5238-d3df-94e9f0a0019d</v>
      </c>
      <c r="H105" s="108" t="str">
        <f>IFERROR(__xludf.DUMMYFUNCTION("""COMPUTED_VALUE"""),"Sala Máquina")</f>
        <v>Sala Máquina</v>
      </c>
      <c r="I105" s="109" t="str">
        <f>IFERROR(__xludf.DUMMYFUNCTION("""COMPUTED_VALUE"""),"https://photos.google.com/search/3%C2%BAPav.-Sala%20Ar%20Condicionado%20-%20CM3.4")</f>
        <v>https://photos.google.com/search/3%C2%BAPav.-Sala%20Ar%20Condicionado%20-%20CM3.4</v>
      </c>
      <c r="J105" s="108"/>
    </row>
    <row r="106">
      <c r="A106" s="109" t="str">
        <f>IFERROR(__xludf.DUMMYFUNCTION("""COMPUTED_VALUE"""),"3ºPav.-Sala Ar Condicionado - CM3.5")</f>
        <v>3ºPav.-Sala Ar Condicionado - CM3.5</v>
      </c>
      <c r="B106" s="108" t="str">
        <f>IFERROR(__xludf.DUMMYFUNCTION("""COMPUTED_VALUE"""),"3ºPav.")</f>
        <v>3ºPav.</v>
      </c>
      <c r="C106" s="108" t="str">
        <f>IFERROR(__xludf.DUMMYFUNCTION("""COMPUTED_VALUE"""),"Sala Ar Condicionado - CM3.5")</f>
        <v>Sala Ar Condicionado - CM3.5</v>
      </c>
      <c r="D106" s="108" t="str">
        <f>IFERROR(__xludf.DUMMYFUNCTION("""COMPUTED_VALUE"""),"3ºPav.")</f>
        <v>3ºPav.</v>
      </c>
      <c r="E106" s="108" t="str">
        <f>IFERROR(__xludf.DUMMYFUNCTION("""COMPUTED_VALUE"""),"B")</f>
        <v>B</v>
      </c>
      <c r="F106" s="108">
        <f>IFERROR(__xludf.DUMMYFUNCTION("""COMPUTED_VALUE"""),67.0)</f>
        <v>67</v>
      </c>
      <c r="G106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f849eec689f849aebb973e6172dc9240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f849eec689f849aebb973e6172dc9240&amp;showComments=1&amp;guid=6882be48-6626-5238-d3df-94e9f0a0019d</v>
      </c>
      <c r="H106" s="108" t="str">
        <f>IFERROR(__xludf.DUMMYFUNCTION("""COMPUTED_VALUE"""),"Sala Máquina")</f>
        <v>Sala Máquina</v>
      </c>
      <c r="I106" s="109" t="str">
        <f>IFERROR(__xludf.DUMMYFUNCTION("""COMPUTED_VALUE"""),"https://photos.google.com/search/3%C2%BAPav.-Sala%20Ar%20Condicionado%20-%20CM3.5")</f>
        <v>https://photos.google.com/search/3%C2%BAPav.-Sala%20Ar%20Condicionado%20-%20CM3.5</v>
      </c>
      <c r="J106" s="108"/>
    </row>
    <row r="107">
      <c r="A107" s="109" t="str">
        <f>IFERROR(__xludf.DUMMYFUNCTION("""COMPUTED_VALUE"""),"3ºPav.-Sala Ar Condicionado - CM3.6")</f>
        <v>3ºPav.-Sala Ar Condicionado - CM3.6</v>
      </c>
      <c r="B107" s="108" t="str">
        <f>IFERROR(__xludf.DUMMYFUNCTION("""COMPUTED_VALUE"""),"3ºPav.")</f>
        <v>3ºPav.</v>
      </c>
      <c r="C107" s="108" t="str">
        <f>IFERROR(__xludf.DUMMYFUNCTION("""COMPUTED_VALUE"""),"Sala Ar Condicionado - CM3.6")</f>
        <v>Sala Ar Condicionado - CM3.6</v>
      </c>
      <c r="D107" s="108" t="str">
        <f>IFERROR(__xludf.DUMMYFUNCTION("""COMPUTED_VALUE"""),"3ºPav.")</f>
        <v>3ºPav.</v>
      </c>
      <c r="E107" s="108" t="str">
        <f>IFERROR(__xludf.DUMMYFUNCTION("""COMPUTED_VALUE"""),"A")</f>
        <v>A</v>
      </c>
      <c r="F107" s="108">
        <f>IFERROR(__xludf.DUMMYFUNCTION("""COMPUTED_VALUE"""),68.0)</f>
        <v>68</v>
      </c>
      <c r="G107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44ab4e1d6b6143908ecff14eb57a305c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44ab4e1d6b6143908ecff14eb57a305c&amp;showComments=1&amp;guid=6882be48-6626-5238-d3df-94e9f0a0019d</v>
      </c>
      <c r="H107" s="108" t="str">
        <f>IFERROR(__xludf.DUMMYFUNCTION("""COMPUTED_VALUE"""),"Sala Máquina")</f>
        <v>Sala Máquina</v>
      </c>
      <c r="I107" s="109" t="str">
        <f>IFERROR(__xludf.DUMMYFUNCTION("""COMPUTED_VALUE"""),"https://photos.google.com/search/3%C2%BAPav.-Sala%20Ar%20Condicionado%20-%20CM3.6")</f>
        <v>https://photos.google.com/search/3%C2%BAPav.-Sala%20Ar%20Condicionado%20-%20CM3.6</v>
      </c>
      <c r="J107" s="108"/>
    </row>
    <row r="108">
      <c r="A108" s="109" t="str">
        <f>IFERROR(__xludf.DUMMYFUNCTION("""COMPUTED_VALUE"""),"3ºPav.-Sala de Duto - CM3.7")</f>
        <v>3ºPav.-Sala de Duto - CM3.7</v>
      </c>
      <c r="B108" s="108" t="str">
        <f>IFERROR(__xludf.DUMMYFUNCTION("""COMPUTED_VALUE"""),"3ºPav.")</f>
        <v>3ºPav.</v>
      </c>
      <c r="C108" s="108" t="str">
        <f>IFERROR(__xludf.DUMMYFUNCTION("""COMPUTED_VALUE"""),"Sala de Duto - CM3.7")</f>
        <v>Sala de Duto - CM3.7</v>
      </c>
      <c r="D108" s="108" t="str">
        <f>IFERROR(__xludf.DUMMYFUNCTION("""COMPUTED_VALUE"""),"3ºPav.")</f>
        <v>3ºPav.</v>
      </c>
      <c r="E108" s="108" t="str">
        <f>IFERROR(__xludf.DUMMYFUNCTION("""COMPUTED_VALUE"""),"B")</f>
        <v>B</v>
      </c>
      <c r="F108" s="108"/>
      <c r="G108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bf141f789b8c4150996c3733f68ec17c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bf141f789b8c4150996c3733f68ec17c&amp;showComments=1&amp;guid=6882be48-6626-5238-d3df-94e9f0a0019d</v>
      </c>
      <c r="H108" s="108" t="str">
        <f>IFERROR(__xludf.DUMMYFUNCTION("""COMPUTED_VALUE"""),"Sala Máquina")</f>
        <v>Sala Máquina</v>
      </c>
      <c r="I108" s="108"/>
      <c r="J108" s="108"/>
    </row>
    <row r="109">
      <c r="A109" s="109" t="str">
        <f>IFERROR(__xludf.DUMMYFUNCTION("""COMPUTED_VALUE"""),"3ºPav.-Sala de Enfermagem 1")</f>
        <v>3ºPav.-Sala de Enfermagem 1</v>
      </c>
      <c r="B109" s="108" t="str">
        <f>IFERROR(__xludf.DUMMYFUNCTION("""COMPUTED_VALUE"""),"3ºPav.")</f>
        <v>3ºPav.</v>
      </c>
      <c r="C109" s="108" t="str">
        <f>IFERROR(__xludf.DUMMYFUNCTION("""COMPUTED_VALUE"""),"Sala de Enfermagem 1")</f>
        <v>Sala de Enfermagem 1</v>
      </c>
      <c r="D109" s="108" t="str">
        <f>IFERROR(__xludf.DUMMYFUNCTION("""COMPUTED_VALUE"""),"3ºPav.")</f>
        <v>3ºPav.</v>
      </c>
      <c r="E109" s="108" t="str">
        <f>IFERROR(__xludf.DUMMYFUNCTION("""COMPUTED_VALUE"""),"A")</f>
        <v>A</v>
      </c>
      <c r="F109" s="108"/>
      <c r="G109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767f05452d1e4364bf198f966cdeb2fe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767f05452d1e4364bf198f966cdeb2fe&amp;showComments=1&amp;guid=6882be48-6626-5238-d3df-94e9f0a0019d</v>
      </c>
      <c r="H109" s="108" t="str">
        <f>IFERROR(__xludf.DUMMYFUNCTION("""COMPUTED_VALUE"""),"Consultório")</f>
        <v>Consultório</v>
      </c>
      <c r="I109" s="108"/>
      <c r="J109" s="108"/>
    </row>
    <row r="110">
      <c r="A110" s="109" t="str">
        <f>IFERROR(__xludf.DUMMYFUNCTION("""COMPUTED_VALUE"""),"3ºPav.-Sala de Enfermagem 2")</f>
        <v>3ºPav.-Sala de Enfermagem 2</v>
      </c>
      <c r="B110" s="108" t="str">
        <f>IFERROR(__xludf.DUMMYFUNCTION("""COMPUTED_VALUE"""),"3ºPav.")</f>
        <v>3ºPav.</v>
      </c>
      <c r="C110" s="108" t="str">
        <f>IFERROR(__xludf.DUMMYFUNCTION("""COMPUTED_VALUE"""),"Sala de Enfermagem 2")</f>
        <v>Sala de Enfermagem 2</v>
      </c>
      <c r="D110" s="108" t="str">
        <f>IFERROR(__xludf.DUMMYFUNCTION("""COMPUTED_VALUE"""),"3ºPav.")</f>
        <v>3ºPav.</v>
      </c>
      <c r="E110" s="108" t="str">
        <f>IFERROR(__xludf.DUMMYFUNCTION("""COMPUTED_VALUE"""),"A")</f>
        <v>A</v>
      </c>
      <c r="F110" s="108"/>
      <c r="G110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8bfc9fc997e64412b56257cfe8ec19b1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8bfc9fc997e64412b56257cfe8ec19b1&amp;showComments=1&amp;guid=6882be48-6626-5238-d3df-94e9f0a0019d</v>
      </c>
      <c r="H110" s="108" t="str">
        <f>IFERROR(__xludf.DUMMYFUNCTION("""COMPUTED_VALUE"""),"Consultório")</f>
        <v>Consultório</v>
      </c>
      <c r="I110" s="108"/>
      <c r="J110" s="108"/>
    </row>
    <row r="111">
      <c r="A111" s="109" t="str">
        <f>IFERROR(__xludf.DUMMYFUNCTION("""COMPUTED_VALUE"""),"3ºPav.-Sala de Preceptores 1")</f>
        <v>3ºPav.-Sala de Preceptores 1</v>
      </c>
      <c r="B111" s="108" t="str">
        <f>IFERROR(__xludf.DUMMYFUNCTION("""COMPUTED_VALUE"""),"3ºPav.")</f>
        <v>3ºPav.</v>
      </c>
      <c r="C111" s="108" t="str">
        <f>IFERROR(__xludf.DUMMYFUNCTION("""COMPUTED_VALUE"""),"Sala de Preceptores 1")</f>
        <v>Sala de Preceptores 1</v>
      </c>
      <c r="D111" s="108" t="str">
        <f>IFERROR(__xludf.DUMMYFUNCTION("""COMPUTED_VALUE"""),"3ºPav.")</f>
        <v>3ºPav.</v>
      </c>
      <c r="E111" s="108" t="str">
        <f>IFERROR(__xludf.DUMMYFUNCTION("""COMPUTED_VALUE"""),"B")</f>
        <v>B</v>
      </c>
      <c r="F111" s="108">
        <f>IFERROR(__xludf.DUMMYFUNCTION("""COMPUTED_VALUE"""),35.0)</f>
        <v>35</v>
      </c>
      <c r="G111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93c0af5e4e224730abf5887ddca94c15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93c0af5e4e224730abf5887ddca94c15&amp;showComments=1&amp;guid=6882be48-6626-5238-d3df-94e9f0a0019d</v>
      </c>
      <c r="H111" s="108" t="str">
        <f>IFERROR(__xludf.DUMMYFUNCTION("""COMPUTED_VALUE"""),"Outros")</f>
        <v>Outros</v>
      </c>
      <c r="I111" s="109" t="str">
        <f>IFERROR(__xludf.DUMMYFUNCTION("""COMPUTED_VALUE"""),"https://photos.google.com/search/3%C2%BAPav.-Sala%20de%20Preceptores%201")</f>
        <v>https://photos.google.com/search/3%C2%BAPav.-Sala%20de%20Preceptores%201</v>
      </c>
      <c r="J111" s="108"/>
    </row>
    <row r="112">
      <c r="A112" s="109" t="str">
        <f>IFERROR(__xludf.DUMMYFUNCTION("""COMPUTED_VALUE"""),"3ºPav.-Sala de Preceptores 2")</f>
        <v>3ºPav.-Sala de Preceptores 2</v>
      </c>
      <c r="B112" s="108" t="str">
        <f>IFERROR(__xludf.DUMMYFUNCTION("""COMPUTED_VALUE"""),"3ºPav.")</f>
        <v>3ºPav.</v>
      </c>
      <c r="C112" s="108" t="str">
        <f>IFERROR(__xludf.DUMMYFUNCTION("""COMPUTED_VALUE"""),"Sala de Preceptores 2")</f>
        <v>Sala de Preceptores 2</v>
      </c>
      <c r="D112" s="108" t="str">
        <f>IFERROR(__xludf.DUMMYFUNCTION("""COMPUTED_VALUE"""),"3ºPav.")</f>
        <v>3ºPav.</v>
      </c>
      <c r="E112" s="108" t="str">
        <f>IFERROR(__xludf.DUMMYFUNCTION("""COMPUTED_VALUE"""),"B")</f>
        <v>B</v>
      </c>
      <c r="F112" s="108"/>
      <c r="G112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b166593c905d4c4788d086e178623e61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b166593c905d4c4788d086e178623e61&amp;showComments=1&amp;guid=6882be48-6626-5238-d3df-94e9f0a0019d</v>
      </c>
      <c r="H112" s="108" t="str">
        <f>IFERROR(__xludf.DUMMYFUNCTION("""COMPUTED_VALUE"""),"Outros")</f>
        <v>Outros</v>
      </c>
      <c r="I112" s="109" t="str">
        <f>IFERROR(__xludf.DUMMYFUNCTION("""COMPUTED_VALUE"""),"https://photos.google.com/search/3%C2%BAPav.-Sala%20de%20Preceptores%202")</f>
        <v>https://photos.google.com/search/3%C2%BAPav.-Sala%20de%20Preceptores%202</v>
      </c>
      <c r="J112" s="108"/>
    </row>
    <row r="113">
      <c r="A113" s="109" t="str">
        <f>IFERROR(__xludf.DUMMYFUNCTION("""COMPUTED_VALUE"""),"3ºPav.-Sala de Procedimentos 1")</f>
        <v>3ºPav.-Sala de Procedimentos 1</v>
      </c>
      <c r="B113" s="108" t="str">
        <f>IFERROR(__xludf.DUMMYFUNCTION("""COMPUTED_VALUE"""),"3ºPav.")</f>
        <v>3ºPav.</v>
      </c>
      <c r="C113" s="108" t="str">
        <f>IFERROR(__xludf.DUMMYFUNCTION("""COMPUTED_VALUE"""),"Sala de Procedimentos 1")</f>
        <v>Sala de Procedimentos 1</v>
      </c>
      <c r="D113" s="108" t="str">
        <f>IFERROR(__xludf.DUMMYFUNCTION("""COMPUTED_VALUE"""),"3ºPav.")</f>
        <v>3ºPav.</v>
      </c>
      <c r="E113" s="108" t="str">
        <f>IFERROR(__xludf.DUMMYFUNCTION("""COMPUTED_VALUE"""),"B")</f>
        <v>B</v>
      </c>
      <c r="F113" s="108"/>
      <c r="G113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1b2ec121fe394fe2a088ab411fbac288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1b2ec121fe394fe2a088ab411fbac288&amp;showComments=1&amp;guid=6882be48-6626-5238-d3df-94e9f0a0019d</v>
      </c>
      <c r="H113" s="108" t="str">
        <f>IFERROR(__xludf.DUMMYFUNCTION("""COMPUTED_VALUE"""),"Outros")</f>
        <v>Outros</v>
      </c>
      <c r="I113" s="108"/>
      <c r="J113" s="108"/>
    </row>
    <row r="114">
      <c r="A114" s="109" t="str">
        <f>IFERROR(__xludf.DUMMYFUNCTION("""COMPUTED_VALUE"""),"3ºPav.-Sala de Procedimentos 2")</f>
        <v>3ºPav.-Sala de Procedimentos 2</v>
      </c>
      <c r="B114" s="108" t="str">
        <f>IFERROR(__xludf.DUMMYFUNCTION("""COMPUTED_VALUE"""),"3ºPav.")</f>
        <v>3ºPav.</v>
      </c>
      <c r="C114" s="108" t="str">
        <f>IFERROR(__xludf.DUMMYFUNCTION("""COMPUTED_VALUE"""),"Sala de Procedimentos 2")</f>
        <v>Sala de Procedimentos 2</v>
      </c>
      <c r="D114" s="108" t="str">
        <f>IFERROR(__xludf.DUMMYFUNCTION("""COMPUTED_VALUE"""),"3ºPav.")</f>
        <v>3ºPav.</v>
      </c>
      <c r="E114" s="108" t="str">
        <f>IFERROR(__xludf.DUMMYFUNCTION("""COMPUTED_VALUE"""),"B")</f>
        <v>B</v>
      </c>
      <c r="F114" s="108"/>
      <c r="G114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16b00f6ff27e40958e1277eb2900be73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16b00f6ff27e40958e1277eb2900be73&amp;showComments=1&amp;guid=6882be48-6626-5238-d3df-94e9f0a0019d</v>
      </c>
      <c r="H114" s="108" t="str">
        <f>IFERROR(__xludf.DUMMYFUNCTION("""COMPUTED_VALUE"""),"Outros")</f>
        <v>Outros</v>
      </c>
      <c r="I114" s="108"/>
      <c r="J114" s="108"/>
    </row>
    <row r="115">
      <c r="A115" s="109" t="str">
        <f>IFERROR(__xludf.DUMMYFUNCTION("""COMPUTED_VALUE"""),"3ºPav.-Sala de Utilidades")</f>
        <v>3ºPav.-Sala de Utilidades</v>
      </c>
      <c r="B115" s="108" t="str">
        <f>IFERROR(__xludf.DUMMYFUNCTION("""COMPUTED_VALUE"""),"3ºPav.")</f>
        <v>3ºPav.</v>
      </c>
      <c r="C115" s="108" t="str">
        <f>IFERROR(__xludf.DUMMYFUNCTION("""COMPUTED_VALUE"""),"Sala de Utilidades")</f>
        <v>Sala de Utilidades</v>
      </c>
      <c r="D115" s="108" t="str">
        <f>IFERROR(__xludf.DUMMYFUNCTION("""COMPUTED_VALUE"""),"3ºPav.")</f>
        <v>3ºPav.</v>
      </c>
      <c r="E115" s="108" t="str">
        <f>IFERROR(__xludf.DUMMYFUNCTION("""COMPUTED_VALUE"""),"B")</f>
        <v>B</v>
      </c>
      <c r="F115" s="108"/>
      <c r="G115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18cccffd275546ad8ee74465f495f357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18cccffd275546ad8ee74465f495f357&amp;showComments=1&amp;guid=6882be48-6626-5238-d3df-94e9f0a0019d</v>
      </c>
      <c r="H115" s="108" t="str">
        <f>IFERROR(__xludf.DUMMYFUNCTION("""COMPUTED_VALUE"""),"Outros")</f>
        <v>Outros</v>
      </c>
      <c r="I115" s="108"/>
      <c r="J115" s="108"/>
    </row>
    <row r="116">
      <c r="A116" s="109" t="str">
        <f>IFERROR(__xludf.DUMMYFUNCTION("""COMPUTED_VALUE"""),"3ºPav.-Sala Elétrica QDG3 - Rack EE - 07 - TI")</f>
        <v>3ºPav.-Sala Elétrica QDG3 - Rack EE - 07 - TI</v>
      </c>
      <c r="B116" s="108" t="str">
        <f>IFERROR(__xludf.DUMMYFUNCTION("""COMPUTED_VALUE"""),"3ºPav.")</f>
        <v>3ºPav.</v>
      </c>
      <c r="C116" s="108" t="str">
        <f>IFERROR(__xludf.DUMMYFUNCTION("""COMPUTED_VALUE"""),"Sala Elétrica QDG3 - Rack EE - 07 - TI")</f>
        <v>Sala Elétrica QDG3 - Rack EE - 07 - TI</v>
      </c>
      <c r="D116" s="108" t="str">
        <f>IFERROR(__xludf.DUMMYFUNCTION("""COMPUTED_VALUE"""),"3ºPav.")</f>
        <v>3ºPav.</v>
      </c>
      <c r="E116" s="108" t="str">
        <f>IFERROR(__xludf.DUMMYFUNCTION("""COMPUTED_VALUE"""),"B")</f>
        <v>B</v>
      </c>
      <c r="F116" s="108"/>
      <c r="G116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45a1ecc962c244ae9709fd37520537fa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45a1ecc962c244ae9709fd37520537fa&amp;showComments=1&amp;guid=6882be48-6626-5238-d3df-94e9f0a0019d</v>
      </c>
      <c r="H116" s="108" t="str">
        <f>IFERROR(__xludf.DUMMYFUNCTION("""COMPUTED_VALUE"""),"Sala Elétrica")</f>
        <v>Sala Elétrica</v>
      </c>
      <c r="I116" s="109" t="str">
        <f>IFERROR(__xludf.DUMMYFUNCTION("""COMPUTED_VALUE"""),"https://photos.google.com/search/3%C2%BAPav.-Sala%20El%C3%A9trica%20QDG3%20-%20Rack%20EE%20-%20TI")</f>
        <v>https://photos.google.com/search/3%C2%BAPav.-Sala%20El%C3%A9trica%20QDG3%20-%20Rack%20EE%20-%20TI</v>
      </c>
      <c r="J116" s="108"/>
    </row>
    <row r="117">
      <c r="A117" s="109" t="str">
        <f>IFERROR(__xludf.DUMMYFUNCTION("""COMPUTED_VALUE"""),"3ºPav.-Sala Fisioterapia")</f>
        <v>3ºPav.-Sala Fisioterapia</v>
      </c>
      <c r="B117" s="108" t="str">
        <f>IFERROR(__xludf.DUMMYFUNCTION("""COMPUTED_VALUE"""),"3ºPav.")</f>
        <v>3ºPav.</v>
      </c>
      <c r="C117" s="108" t="str">
        <f>IFERROR(__xludf.DUMMYFUNCTION("""COMPUTED_VALUE"""),"Sala Fisioterapia")</f>
        <v>Sala Fisioterapia</v>
      </c>
      <c r="D117" s="108" t="str">
        <f>IFERROR(__xludf.DUMMYFUNCTION("""COMPUTED_VALUE"""),"3ºPav.")</f>
        <v>3ºPav.</v>
      </c>
      <c r="E117" s="108" t="str">
        <f>IFERROR(__xludf.DUMMYFUNCTION("""COMPUTED_VALUE"""),"A")</f>
        <v>A</v>
      </c>
      <c r="F117" s="108"/>
      <c r="G117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1f28e359f6244afdb6bb4ec170b185c9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1f28e359f6244afdb6bb4ec170b185c9&amp;showComments=1&amp;guid=6882be48-6626-5238-d3df-94e9f0a0019d</v>
      </c>
      <c r="H117" s="108" t="str">
        <f>IFERROR(__xludf.DUMMYFUNCTION("""COMPUTED_VALUE"""),"Outros")</f>
        <v>Outros</v>
      </c>
      <c r="I117" s="108"/>
      <c r="J117" s="108"/>
    </row>
    <row r="118">
      <c r="A118" s="109" t="str">
        <f>IFERROR(__xludf.DUMMYFUNCTION("""COMPUTED_VALUE"""),"3ºPav.-Sala para Espera Paciente Maca")</f>
        <v>3ºPav.-Sala para Espera Paciente Maca</v>
      </c>
      <c r="B118" s="108" t="str">
        <f>IFERROR(__xludf.DUMMYFUNCTION("""COMPUTED_VALUE"""),"3ºPav.")</f>
        <v>3ºPav.</v>
      </c>
      <c r="C118" s="108" t="str">
        <f>IFERROR(__xludf.DUMMYFUNCTION("""COMPUTED_VALUE"""),"Sala para Espera Paciente Maca")</f>
        <v>Sala para Espera Paciente Maca</v>
      </c>
      <c r="D118" s="108" t="str">
        <f>IFERROR(__xludf.DUMMYFUNCTION("""COMPUTED_VALUE"""),"3ºPav.")</f>
        <v>3ºPav.</v>
      </c>
      <c r="E118" s="108" t="str">
        <f>IFERROR(__xludf.DUMMYFUNCTION("""COMPUTED_VALUE"""),"B")</f>
        <v>B</v>
      </c>
      <c r="F118" s="108"/>
      <c r="G118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12596c4ca4a644128a2dc7e13e9514aa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12596c4ca4a644128a2dc7e13e9514aa&amp;showComments=1&amp;guid=6882be48-6626-5238-d3df-94e9f0a0019d</v>
      </c>
      <c r="H118" s="108" t="str">
        <f>IFERROR(__xludf.DUMMYFUNCTION("""COMPUTED_VALUE"""),"Outros")</f>
        <v>Outros</v>
      </c>
      <c r="I118" s="109" t="str">
        <f>IFERROR(__xludf.DUMMYFUNCTION("""COMPUTED_VALUE"""),"https://photos.google.com/search/3%C2%BAPav.-Sala%20para%20Espera%20Paciente%20Maca")</f>
        <v>https://photos.google.com/search/3%C2%BAPav.-Sala%20para%20Espera%20Paciente%20Maca</v>
      </c>
      <c r="J118" s="108"/>
    </row>
    <row r="119">
      <c r="A119" s="109" t="str">
        <f>IFERROR(__xludf.DUMMYFUNCTION("""COMPUTED_VALUE"""),"3ºPav.-Sala Rack FF - 08 - TI")</f>
        <v>3ºPav.-Sala Rack FF - 08 - TI</v>
      </c>
      <c r="B119" s="108" t="str">
        <f>IFERROR(__xludf.DUMMYFUNCTION("""COMPUTED_VALUE"""),"3ºPav.")</f>
        <v>3ºPav.</v>
      </c>
      <c r="C119" s="108" t="str">
        <f>IFERROR(__xludf.DUMMYFUNCTION("""COMPUTED_VALUE"""),"Sala Rack FF - 08 - TI")</f>
        <v>Sala Rack FF - 08 - TI</v>
      </c>
      <c r="D119" s="108" t="str">
        <f>IFERROR(__xludf.DUMMYFUNCTION("""COMPUTED_VALUE"""),"3ºPav.")</f>
        <v>3ºPav.</v>
      </c>
      <c r="E119" s="108" t="str">
        <f>IFERROR(__xludf.DUMMYFUNCTION("""COMPUTED_VALUE"""),"A")</f>
        <v>A</v>
      </c>
      <c r="F119" s="108"/>
      <c r="G119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c6d980f6a52c4e918400ddd6eb78f39f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c6d980f6a52c4e918400ddd6eb78f39f&amp;showComments=1&amp;guid=6882be48-6626-5238-d3df-94e9f0a0019d</v>
      </c>
      <c r="H119" s="108" t="str">
        <f>IFERROR(__xludf.DUMMYFUNCTION("""COMPUTED_VALUE"""),"Sala Elétrica")</f>
        <v>Sala Elétrica</v>
      </c>
      <c r="I119" s="109" t="str">
        <f>IFERROR(__xludf.DUMMYFUNCTION("""COMPUTED_VALUE"""),"https://photos.google.com/search/3%C2%BAPav.-Sala%20Rack%20FF%20-%20TI")</f>
        <v>https://photos.google.com/search/3%C2%BAPav.-Sala%20Rack%20FF%20-%20TI</v>
      </c>
      <c r="J119" s="108"/>
    </row>
    <row r="120">
      <c r="A120" s="109" t="str">
        <f>IFERROR(__xludf.DUMMYFUNCTION("""COMPUTED_VALUE"""),"3ºPav.-Sanitário Funcionários Feminino")</f>
        <v>3ºPav.-Sanitário Funcionários Feminino</v>
      </c>
      <c r="B120" s="108" t="str">
        <f>IFERROR(__xludf.DUMMYFUNCTION("""COMPUTED_VALUE"""),"3ºPav.")</f>
        <v>3ºPav.</v>
      </c>
      <c r="C120" s="108" t="str">
        <f>IFERROR(__xludf.DUMMYFUNCTION("""COMPUTED_VALUE"""),"Sanitário Funcionários Feminino")</f>
        <v>Sanitário Funcionários Feminino</v>
      </c>
      <c r="D120" s="108" t="str">
        <f>IFERROR(__xludf.DUMMYFUNCTION("""COMPUTED_VALUE"""),"3ºPav.")</f>
        <v>3ºPav.</v>
      </c>
      <c r="E120" s="108" t="str">
        <f>IFERROR(__xludf.DUMMYFUNCTION("""COMPUTED_VALUE"""),"B")</f>
        <v>B</v>
      </c>
      <c r="F120" s="108">
        <f>IFERROR(__xludf.DUMMYFUNCTION("""COMPUTED_VALUE"""),32.0)</f>
        <v>32</v>
      </c>
      <c r="G120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c5ec8b67340b4867a4c1fae8c520e9c0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c5ec8b67340b4867a4c1fae8c520e9c0&amp;showComments=1&amp;guid=6882be48-6626-5238-d3df-94e9f0a0019d</v>
      </c>
      <c r="H120" s="108" t="str">
        <f>IFERROR(__xludf.DUMMYFUNCTION("""COMPUTED_VALUE"""),"Sanitário")</f>
        <v>Sanitário</v>
      </c>
      <c r="I120" s="108"/>
      <c r="J120" s="108"/>
    </row>
    <row r="121">
      <c r="A121" s="109" t="str">
        <f>IFERROR(__xludf.DUMMYFUNCTION("""COMPUTED_VALUE"""),"3ºPav.-Sanitário Funcionários Masculino")</f>
        <v>3ºPav.-Sanitário Funcionários Masculino</v>
      </c>
      <c r="B121" s="108" t="str">
        <f>IFERROR(__xludf.DUMMYFUNCTION("""COMPUTED_VALUE"""),"3ºPav.")</f>
        <v>3ºPav.</v>
      </c>
      <c r="C121" s="108" t="str">
        <f>IFERROR(__xludf.DUMMYFUNCTION("""COMPUTED_VALUE"""),"Sanitário Funcionários Masculino")</f>
        <v>Sanitário Funcionários Masculino</v>
      </c>
      <c r="D121" s="108" t="str">
        <f>IFERROR(__xludf.DUMMYFUNCTION("""COMPUTED_VALUE"""),"3ºPav.")</f>
        <v>3ºPav.</v>
      </c>
      <c r="E121" s="108" t="str">
        <f>IFERROR(__xludf.DUMMYFUNCTION("""COMPUTED_VALUE"""),"B")</f>
        <v>B</v>
      </c>
      <c r="F121" s="108">
        <f>IFERROR(__xludf.DUMMYFUNCTION("""COMPUTED_VALUE"""),31.0)</f>
        <v>31</v>
      </c>
      <c r="G121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2b5fa4f465ac4c508f772925e9195bce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2b5fa4f465ac4c508f772925e9195bce&amp;showComments=1&amp;guid=6882be48-6626-5238-d3df-94e9f0a0019d</v>
      </c>
      <c r="H121" s="108" t="str">
        <f>IFERROR(__xludf.DUMMYFUNCTION("""COMPUTED_VALUE"""),"Sanitário")</f>
        <v>Sanitário</v>
      </c>
      <c r="I121" s="108"/>
      <c r="J121" s="108"/>
    </row>
    <row r="122">
      <c r="A122" s="109" t="str">
        <f>IFERROR(__xludf.DUMMYFUNCTION("""COMPUTED_VALUE"""),"3ºPav.-Sanitário Paciente Feminino")</f>
        <v>3ºPav.-Sanitário Paciente Feminino</v>
      </c>
      <c r="B122" s="108" t="str">
        <f>IFERROR(__xludf.DUMMYFUNCTION("""COMPUTED_VALUE"""),"3ºPav.")</f>
        <v>3ºPav.</v>
      </c>
      <c r="C122" s="108" t="str">
        <f>IFERROR(__xludf.DUMMYFUNCTION("""COMPUTED_VALUE"""),"Sanitário Paciente Feminino")</f>
        <v>Sanitário Paciente Feminino</v>
      </c>
      <c r="D122" s="108" t="str">
        <f>IFERROR(__xludf.DUMMYFUNCTION("""COMPUTED_VALUE"""),"3ºPav.")</f>
        <v>3ºPav.</v>
      </c>
      <c r="E122" s="108" t="str">
        <f>IFERROR(__xludf.DUMMYFUNCTION("""COMPUTED_VALUE"""),"A")</f>
        <v>A</v>
      </c>
      <c r="F122" s="108">
        <f>IFERROR(__xludf.DUMMYFUNCTION("""COMPUTED_VALUE"""),52.0)</f>
        <v>52</v>
      </c>
      <c r="G122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acf785c565d740b0acf6cba04b766df1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acf785c565d740b0acf6cba04b766df1&amp;showComments=1&amp;guid=6882be48-6626-5238-d3df-94e9f0a0019d</v>
      </c>
      <c r="H122" s="108" t="str">
        <f>IFERROR(__xludf.DUMMYFUNCTION("""COMPUTED_VALUE"""),"Sanitário")</f>
        <v>Sanitário</v>
      </c>
      <c r="I122" s="108"/>
      <c r="J122" s="108"/>
    </row>
    <row r="123">
      <c r="A123" s="109" t="str">
        <f>IFERROR(__xludf.DUMMYFUNCTION("""COMPUTED_VALUE"""),"3ºPav.-Sanitário Paciente Masculino")</f>
        <v>3ºPav.-Sanitário Paciente Masculino</v>
      </c>
      <c r="B123" s="108" t="str">
        <f>IFERROR(__xludf.DUMMYFUNCTION("""COMPUTED_VALUE"""),"3ºPav.")</f>
        <v>3ºPav.</v>
      </c>
      <c r="C123" s="108" t="str">
        <f>IFERROR(__xludf.DUMMYFUNCTION("""COMPUTED_VALUE"""),"Sanitário Paciente Masculino")</f>
        <v>Sanitário Paciente Masculino</v>
      </c>
      <c r="D123" s="108" t="str">
        <f>IFERROR(__xludf.DUMMYFUNCTION("""COMPUTED_VALUE"""),"3ºPav.")</f>
        <v>3ºPav.</v>
      </c>
      <c r="E123" s="108" t="str">
        <f>IFERROR(__xludf.DUMMYFUNCTION("""COMPUTED_VALUE"""),"A")</f>
        <v>A</v>
      </c>
      <c r="F123" s="108">
        <f>IFERROR(__xludf.DUMMYFUNCTION("""COMPUTED_VALUE"""),53.0)</f>
        <v>53</v>
      </c>
      <c r="G123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80ad54ccb54d4323be7a20241fd2c879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80ad54ccb54d4323be7a20241fd2c879&amp;showComments=1&amp;guid=6882be48-6626-5238-d3df-94e9f0a0019d</v>
      </c>
      <c r="H123" s="108" t="str">
        <f>IFERROR(__xludf.DUMMYFUNCTION("""COMPUTED_VALUE"""),"Sanitário")</f>
        <v>Sanitário</v>
      </c>
      <c r="I123" s="108"/>
      <c r="J123" s="108"/>
    </row>
    <row r="124">
      <c r="A124" s="109" t="str">
        <f>IFERROR(__xludf.DUMMYFUNCTION("""COMPUTED_VALUE"""),"3ºPav.-Sanitário Público PCD Feminino 1")</f>
        <v>3ºPav.-Sanitário Público PCD Feminino 1</v>
      </c>
      <c r="B124" s="108" t="str">
        <f>IFERROR(__xludf.DUMMYFUNCTION("""COMPUTED_VALUE"""),"3ºPav.")</f>
        <v>3ºPav.</v>
      </c>
      <c r="C124" s="108" t="str">
        <f>IFERROR(__xludf.DUMMYFUNCTION("""COMPUTED_VALUE"""),"Sanitário Público PCD Feminino 1")</f>
        <v>Sanitário Público PCD Feminino 1</v>
      </c>
      <c r="D124" s="108" t="str">
        <f>IFERROR(__xludf.DUMMYFUNCTION("""COMPUTED_VALUE"""),"3ºPav.")</f>
        <v>3ºPav.</v>
      </c>
      <c r="E124" s="108" t="str">
        <f>IFERROR(__xludf.DUMMYFUNCTION("""COMPUTED_VALUE"""),"A")</f>
        <v>A</v>
      </c>
      <c r="F124" s="108">
        <f>IFERROR(__xludf.DUMMYFUNCTION("""COMPUTED_VALUE"""),7.0)</f>
        <v>7</v>
      </c>
      <c r="G124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914990a7b9b74737af982abfbf4b1c23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914990a7b9b74737af982abfbf4b1c23&amp;showComments=1&amp;guid=6882be48-6626-5238-d3df-94e9f0a0019d</v>
      </c>
      <c r="H124" s="108" t="str">
        <f>IFERROR(__xludf.DUMMYFUNCTION("""COMPUTED_VALUE"""),"Sanitário")</f>
        <v>Sanitário</v>
      </c>
      <c r="I124" s="108"/>
      <c r="J124" s="108"/>
    </row>
    <row r="125">
      <c r="A125" s="109" t="str">
        <f>IFERROR(__xludf.DUMMYFUNCTION("""COMPUTED_VALUE"""),"3ºPav.-Sanitário Público PCD Feminino 2")</f>
        <v>3ºPav.-Sanitário Público PCD Feminino 2</v>
      </c>
      <c r="B125" s="108" t="str">
        <f>IFERROR(__xludf.DUMMYFUNCTION("""COMPUTED_VALUE"""),"3ºPav.")</f>
        <v>3ºPav.</v>
      </c>
      <c r="C125" s="108" t="str">
        <f>IFERROR(__xludf.DUMMYFUNCTION("""COMPUTED_VALUE"""),"Sanitário Público PCD Feminino 2")</f>
        <v>Sanitário Público PCD Feminino 2</v>
      </c>
      <c r="D125" s="108" t="str">
        <f>IFERROR(__xludf.DUMMYFUNCTION("""COMPUTED_VALUE"""),"3ºPav.")</f>
        <v>3ºPav.</v>
      </c>
      <c r="E125" s="108" t="str">
        <f>IFERROR(__xludf.DUMMYFUNCTION("""COMPUTED_VALUE"""),"B")</f>
        <v>B</v>
      </c>
      <c r="F125" s="108">
        <f>IFERROR(__xludf.DUMMYFUNCTION("""COMPUTED_VALUE"""),60.0)</f>
        <v>60</v>
      </c>
      <c r="G125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20864ddb69c14aaeb03f5628b4a849ee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20864ddb69c14aaeb03f5628b4a849ee&amp;showComments=1&amp;guid=6882be48-6626-5238-d3df-94e9f0a0019d</v>
      </c>
      <c r="H125" s="108" t="str">
        <f>IFERROR(__xludf.DUMMYFUNCTION("""COMPUTED_VALUE"""),"Sanitário")</f>
        <v>Sanitário</v>
      </c>
      <c r="I125" s="108"/>
      <c r="J125" s="108"/>
    </row>
    <row r="126">
      <c r="A126" s="109" t="str">
        <f>IFERROR(__xludf.DUMMYFUNCTION("""COMPUTED_VALUE"""),"3ºPav.-Sanitário Público PCD Feminino 3")</f>
        <v>3ºPav.-Sanitário Público PCD Feminino 3</v>
      </c>
      <c r="B126" s="108" t="str">
        <f>IFERROR(__xludf.DUMMYFUNCTION("""COMPUTED_VALUE"""),"3ºPav.")</f>
        <v>3ºPav.</v>
      </c>
      <c r="C126" s="108" t="str">
        <f>IFERROR(__xludf.DUMMYFUNCTION("""COMPUTED_VALUE"""),"Sanitário Público PCD Feminino 3")</f>
        <v>Sanitário Público PCD Feminino 3</v>
      </c>
      <c r="D126" s="108" t="str">
        <f>IFERROR(__xludf.DUMMYFUNCTION("""COMPUTED_VALUE"""),"3ºPav.")</f>
        <v>3ºPav.</v>
      </c>
      <c r="E126" s="108" t="str">
        <f>IFERROR(__xludf.DUMMYFUNCTION("""COMPUTED_VALUE"""),"A")</f>
        <v>A</v>
      </c>
      <c r="F126" s="108">
        <f>IFERROR(__xludf.DUMMYFUNCTION("""COMPUTED_VALUE"""),50.0)</f>
        <v>50</v>
      </c>
      <c r="G126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8c26682c36bf45dba2ddc1adf591fba3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8c26682c36bf45dba2ddc1adf591fba3&amp;showComments=1&amp;guid=6882be48-6626-5238-d3df-94e9f0a0019d</v>
      </c>
      <c r="H126" s="108" t="str">
        <f>IFERROR(__xludf.DUMMYFUNCTION("""COMPUTED_VALUE"""),"Sanitário")</f>
        <v>Sanitário</v>
      </c>
      <c r="I126" s="108"/>
      <c r="J126" s="108"/>
    </row>
    <row r="127">
      <c r="A127" s="109" t="str">
        <f>IFERROR(__xludf.DUMMYFUNCTION("""COMPUTED_VALUE"""),"3ºPav.-Sanitário Público PCD Masculino 1")</f>
        <v>3ºPav.-Sanitário Público PCD Masculino 1</v>
      </c>
      <c r="B127" s="108" t="str">
        <f>IFERROR(__xludf.DUMMYFUNCTION("""COMPUTED_VALUE"""),"3ºPav.")</f>
        <v>3ºPav.</v>
      </c>
      <c r="C127" s="108" t="str">
        <f>IFERROR(__xludf.DUMMYFUNCTION("""COMPUTED_VALUE"""),"Sanitário Público PCD Masculino 1")</f>
        <v>Sanitário Público PCD Masculino 1</v>
      </c>
      <c r="D127" s="108" t="str">
        <f>IFERROR(__xludf.DUMMYFUNCTION("""COMPUTED_VALUE"""),"3ºPav.")</f>
        <v>3ºPav.</v>
      </c>
      <c r="E127" s="108" t="str">
        <f>IFERROR(__xludf.DUMMYFUNCTION("""COMPUTED_VALUE"""),"A")</f>
        <v>A</v>
      </c>
      <c r="F127" s="108">
        <f>IFERROR(__xludf.DUMMYFUNCTION("""COMPUTED_VALUE"""),61.0)</f>
        <v>61</v>
      </c>
      <c r="G127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f75cee27aaaf4e67b0145ceb905c491b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f75cee27aaaf4e67b0145ceb905c491b&amp;showComments=1&amp;guid=6882be48-6626-5238-d3df-94e9f0a0019d</v>
      </c>
      <c r="H127" s="108" t="str">
        <f>IFERROR(__xludf.DUMMYFUNCTION("""COMPUTED_VALUE"""),"Sanitário")</f>
        <v>Sanitário</v>
      </c>
      <c r="I127" s="108"/>
      <c r="J127" s="108"/>
    </row>
    <row r="128">
      <c r="A128" s="109" t="str">
        <f>IFERROR(__xludf.DUMMYFUNCTION("""COMPUTED_VALUE"""),"3ºPav.-Sanitário Público PCD Masculino 2")</f>
        <v>3ºPav.-Sanitário Público PCD Masculino 2</v>
      </c>
      <c r="B128" s="108" t="str">
        <f>IFERROR(__xludf.DUMMYFUNCTION("""COMPUTED_VALUE"""),"3ºPav.")</f>
        <v>3ºPav.</v>
      </c>
      <c r="C128" s="108" t="str">
        <f>IFERROR(__xludf.DUMMYFUNCTION("""COMPUTED_VALUE"""),"Sanitário Público PCD Masculino 2")</f>
        <v>Sanitário Público PCD Masculino 2</v>
      </c>
      <c r="D128" s="108" t="str">
        <f>IFERROR(__xludf.DUMMYFUNCTION("""COMPUTED_VALUE"""),"3ºPav.")</f>
        <v>3ºPav.</v>
      </c>
      <c r="E128" s="108" t="str">
        <f>IFERROR(__xludf.DUMMYFUNCTION("""COMPUTED_VALUE"""),"B")</f>
        <v>B</v>
      </c>
      <c r="F128" s="108">
        <f>IFERROR(__xludf.DUMMYFUNCTION("""COMPUTED_VALUE"""),34.0)</f>
        <v>34</v>
      </c>
      <c r="G128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8c6207fbd4f44118a47c3d41a766cfb9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8c6207fbd4f44118a47c3d41a766cfb9&amp;showComments=1&amp;guid=6882be48-6626-5238-d3df-94e9f0a0019d</v>
      </c>
      <c r="H128" s="108" t="str">
        <f>IFERROR(__xludf.DUMMYFUNCTION("""COMPUTED_VALUE"""),"Sanitário")</f>
        <v>Sanitário</v>
      </c>
      <c r="I128" s="108"/>
      <c r="J128" s="108"/>
    </row>
    <row r="129">
      <c r="A129" s="109" t="str">
        <f>IFERROR(__xludf.DUMMYFUNCTION("""COMPUTED_VALUE"""),"3ºPav.-Sanitário Público PCD Masculino 3")</f>
        <v>3ºPav.-Sanitário Público PCD Masculino 3</v>
      </c>
      <c r="B129" s="108" t="str">
        <f>IFERROR(__xludf.DUMMYFUNCTION("""COMPUTED_VALUE"""),"3ºPav.")</f>
        <v>3ºPav.</v>
      </c>
      <c r="C129" s="108" t="str">
        <f>IFERROR(__xludf.DUMMYFUNCTION("""COMPUTED_VALUE"""),"Sanitário Público PCD Masculino 3")</f>
        <v>Sanitário Público PCD Masculino 3</v>
      </c>
      <c r="D129" s="108" t="str">
        <f>IFERROR(__xludf.DUMMYFUNCTION("""COMPUTED_VALUE"""),"3ºPav.")</f>
        <v>3ºPav.</v>
      </c>
      <c r="E129" s="108" t="str">
        <f>IFERROR(__xludf.DUMMYFUNCTION("""COMPUTED_VALUE"""),"A")</f>
        <v>A</v>
      </c>
      <c r="F129" s="108">
        <f>IFERROR(__xludf.DUMMYFUNCTION("""COMPUTED_VALUE"""),49.0)</f>
        <v>49</v>
      </c>
      <c r="G129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348b09153b324247a170403d3e569920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348b09153b324247a170403d3e569920&amp;showComments=1&amp;guid=6882be48-6626-5238-d3df-94e9f0a0019d</v>
      </c>
      <c r="H129" s="108" t="str">
        <f>IFERROR(__xludf.DUMMYFUNCTION("""COMPUTED_VALUE"""),"Sanitário")</f>
        <v>Sanitário</v>
      </c>
      <c r="I129" s="108"/>
      <c r="J129" s="108"/>
    </row>
    <row r="130">
      <c r="A130" s="109" t="str">
        <f>IFERROR(__xludf.DUMMYFUNCTION("""COMPUTED_VALUE"""),"3ºPav.-Subestação 1")</f>
        <v>3ºPav.-Subestação 1</v>
      </c>
      <c r="B130" s="108" t="str">
        <f>IFERROR(__xludf.DUMMYFUNCTION("""COMPUTED_VALUE"""),"3ºPav.")</f>
        <v>3ºPav.</v>
      </c>
      <c r="C130" s="108" t="str">
        <f>IFERROR(__xludf.DUMMYFUNCTION("""COMPUTED_VALUE"""),"Subestação 1")</f>
        <v>Subestação 1</v>
      </c>
      <c r="D130" s="108" t="str">
        <f>IFERROR(__xludf.DUMMYFUNCTION("""COMPUTED_VALUE"""),"3ºPav.")</f>
        <v>3ºPav.</v>
      </c>
      <c r="E130" s="108" t="str">
        <f>IFERROR(__xludf.DUMMYFUNCTION("""COMPUTED_VALUE"""),"B")</f>
        <v>B</v>
      </c>
      <c r="F130" s="108"/>
      <c r="G130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2c830be7bbf2468a92921608c0094895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2c830be7bbf2468a92921608c0094895&amp;showComments=1&amp;guid=6882be48-6626-5238-d3df-94e9f0a0019d</v>
      </c>
      <c r="H130" s="108" t="str">
        <f>IFERROR(__xludf.DUMMYFUNCTION("""COMPUTED_VALUE"""),"Sala Elétrica")</f>
        <v>Sala Elétrica</v>
      </c>
      <c r="I130" s="109" t="str">
        <f>IFERROR(__xludf.DUMMYFUNCTION("""COMPUTED_VALUE"""),"https://photos.app.goo.gl/zxACzUQiHiE3Lpgt7")</f>
        <v>https://photos.app.goo.gl/zxACzUQiHiE3Lpgt7</v>
      </c>
      <c r="J130" s="108"/>
    </row>
    <row r="131">
      <c r="A131" s="109" t="str">
        <f>IFERROR(__xludf.DUMMYFUNCTION("""COMPUTED_VALUE"""),"3ºPav.-Triagem - Sinais Vitais")</f>
        <v>3ºPav.-Triagem - Sinais Vitais</v>
      </c>
      <c r="B131" s="108" t="str">
        <f>IFERROR(__xludf.DUMMYFUNCTION("""COMPUTED_VALUE"""),"3ºPav.")</f>
        <v>3ºPav.</v>
      </c>
      <c r="C131" s="108" t="str">
        <f>IFERROR(__xludf.DUMMYFUNCTION("""COMPUTED_VALUE"""),"Triagem - Sinais Vitais")</f>
        <v>Triagem - Sinais Vitais</v>
      </c>
      <c r="D131" s="108" t="str">
        <f>IFERROR(__xludf.DUMMYFUNCTION("""COMPUTED_VALUE"""),"3ºPav.")</f>
        <v>3ºPav.</v>
      </c>
      <c r="E131" s="108" t="str">
        <f>IFERROR(__xludf.DUMMYFUNCTION("""COMPUTED_VALUE"""),"A")</f>
        <v>A</v>
      </c>
      <c r="F131" s="108"/>
      <c r="G131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f4680b93c69a479aa3603caf1d07390e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f4680b93c69a479aa3603caf1d07390e&amp;showComments=1&amp;guid=6882be48-6626-5238-d3df-94e9f0a0019d</v>
      </c>
      <c r="H131" s="108" t="str">
        <f>IFERROR(__xludf.DUMMYFUNCTION("""COMPUTED_VALUE"""),"Consultório")</f>
        <v>Consultório</v>
      </c>
      <c r="I131" s="108"/>
      <c r="J131" s="108"/>
    </row>
    <row r="132">
      <c r="A132" s="109" t="str">
        <f>IFERROR(__xludf.DUMMYFUNCTION("""COMPUTED_VALUE"""),"3ºPav.-Triagem - Sinais Vitais 2")</f>
        <v>3ºPav.-Triagem - Sinais Vitais 2</v>
      </c>
      <c r="B132" s="108" t="str">
        <f>IFERROR(__xludf.DUMMYFUNCTION("""COMPUTED_VALUE"""),"3ºPav.")</f>
        <v>3ºPav.</v>
      </c>
      <c r="C132" s="108" t="str">
        <f>IFERROR(__xludf.DUMMYFUNCTION("""COMPUTED_VALUE"""),"Triagem - Sinais Vitais 2")</f>
        <v>Triagem - Sinais Vitais 2</v>
      </c>
      <c r="D132" s="108" t="str">
        <f>IFERROR(__xludf.DUMMYFUNCTION("""COMPUTED_VALUE"""),"3ºPav.")</f>
        <v>3ºPav.</v>
      </c>
      <c r="E132" s="108" t="str">
        <f>IFERROR(__xludf.DUMMYFUNCTION("""COMPUTED_VALUE"""),"A")</f>
        <v>A</v>
      </c>
      <c r="F132" s="108"/>
      <c r="G132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3131191e0808489eb3d3a8cfa082f955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3131191e0808489eb3d3a8cfa082f955&amp;showComments=1&amp;guid=6882be48-6626-5238-d3df-94e9f0a0019d</v>
      </c>
      <c r="H132" s="108" t="str">
        <f>IFERROR(__xludf.DUMMYFUNCTION("""COMPUTED_VALUE"""),"Consultório")</f>
        <v>Consultório</v>
      </c>
      <c r="I132" s="108"/>
      <c r="J132" s="108"/>
    </row>
    <row r="133">
      <c r="A133" s="109" t="str">
        <f>IFERROR(__xludf.DUMMYFUNCTION("""COMPUTED_VALUE"""),"3ºPav.-Vestiário Público PCD Feminino")</f>
        <v>3ºPav.-Vestiário Público PCD Feminino</v>
      </c>
      <c r="B133" s="108" t="str">
        <f>IFERROR(__xludf.DUMMYFUNCTION("""COMPUTED_VALUE"""),"3ºPav.")</f>
        <v>3ºPav.</v>
      </c>
      <c r="C133" s="108" t="str">
        <f>IFERROR(__xludf.DUMMYFUNCTION("""COMPUTED_VALUE"""),"Vestiário Público PCD Feminino")</f>
        <v>Vestiário Público PCD Feminino</v>
      </c>
      <c r="D133" s="108" t="str">
        <f>IFERROR(__xludf.DUMMYFUNCTION("""COMPUTED_VALUE"""),"3ºPav.")</f>
        <v>3ºPav.</v>
      </c>
      <c r="E133" s="108" t="str">
        <f>IFERROR(__xludf.DUMMYFUNCTION("""COMPUTED_VALUE"""),"A")</f>
        <v>A</v>
      </c>
      <c r="F133" s="108"/>
      <c r="G133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cacee1938ba7438e93543c5207b32415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cacee1938ba7438e93543c5207b32415&amp;showComments=1&amp;guid=6882be48-6626-5238-d3df-94e9f0a0019d</v>
      </c>
      <c r="H133" s="108" t="str">
        <f>IFERROR(__xludf.DUMMYFUNCTION("""COMPUTED_VALUE"""),"Vestiário")</f>
        <v>Vestiário</v>
      </c>
      <c r="I133" s="108"/>
      <c r="J133" s="108"/>
    </row>
    <row r="134">
      <c r="A134" s="109" t="str">
        <f>IFERROR(__xludf.DUMMYFUNCTION("""COMPUTED_VALUE"""),"3ºPav.-Vestiário Público PCD Masculino")</f>
        <v>3ºPav.-Vestiário Público PCD Masculino</v>
      </c>
      <c r="B134" s="108" t="str">
        <f>IFERROR(__xludf.DUMMYFUNCTION("""COMPUTED_VALUE"""),"3ºPav.")</f>
        <v>3ºPav.</v>
      </c>
      <c r="C134" s="108" t="str">
        <f>IFERROR(__xludf.DUMMYFUNCTION("""COMPUTED_VALUE"""),"Vestiário Público PCD Masculino")</f>
        <v>Vestiário Público PCD Masculino</v>
      </c>
      <c r="D134" s="108" t="str">
        <f>IFERROR(__xludf.DUMMYFUNCTION("""COMPUTED_VALUE"""),"3ºPav.")</f>
        <v>3ºPav.</v>
      </c>
      <c r="E134" s="108" t="str">
        <f>IFERROR(__xludf.DUMMYFUNCTION("""COMPUTED_VALUE"""),"A")</f>
        <v>A</v>
      </c>
      <c r="F134" s="108"/>
      <c r="G134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b14d626bc6614485b2ee5777d734ea37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b14d626bc6614485b2ee5777d734ea37&amp;showComments=1&amp;guid=6882be48-6626-5238-d3df-94e9f0a0019d</v>
      </c>
      <c r="H134" s="108" t="str">
        <f>IFERROR(__xludf.DUMMYFUNCTION("""COMPUTED_VALUE"""),"Vestiário")</f>
        <v>Vestiário</v>
      </c>
      <c r="I134" s="108"/>
      <c r="J134" s="108"/>
    </row>
    <row r="135">
      <c r="A135" s="109" t="str">
        <f>IFERROR(__xludf.DUMMYFUNCTION("""COMPUTED_VALUE"""),"4ºPav.")</f>
        <v>4ºPav.</v>
      </c>
      <c r="B135" s="108" t="str">
        <f>IFERROR(__xludf.DUMMYFUNCTION("""COMPUTED_VALUE"""),"4ºPav.")</f>
        <v>4ºPav.</v>
      </c>
      <c r="C135" s="108" t="str">
        <f>IFERROR(__xludf.DUMMYFUNCTION("""COMPUTED_VALUE"""),"4ºPav.")</f>
        <v>4ºPav.</v>
      </c>
      <c r="D135" s="108"/>
      <c r="E135" s="108"/>
      <c r="F135" s="108"/>
      <c r="G135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showComments=1&amp;guid=6882be48-6626-5238-d3df-94e9f0a0019d</v>
      </c>
      <c r="H135" s="108" t="str">
        <f>IFERROR(__xludf.DUMMYFUNCTION("""COMPUTED_VALUE"""),"Geral")</f>
        <v>Geral</v>
      </c>
      <c r="I135" s="109" t="str">
        <f>IFERROR(__xludf.DUMMYFUNCTION("""COMPUTED_VALUE"""),"https://photos.google.com/share/AF1QipNzZwWv7KemIzTr7iw4t88WAUphrp6rC4JX9ehxZ_xuzPz5D0C3Dm52A2T2KWZ5Ww?key=bWRZajdNenludURnR1hBRzhCSG9GblRMOUtmUnpB")</f>
        <v>https://photos.google.com/share/AF1QipNzZwWv7KemIzTr7iw4t88WAUphrp6rC4JX9ehxZ_xuzPz5D0C3Dm52A2T2KWZ5Ww?key=bWRZajdNenludURnR1hBRzhCSG9GblRMOUtmUnpB</v>
      </c>
      <c r="J135" s="108"/>
    </row>
    <row r="136">
      <c r="A136" s="109" t="str">
        <f>IFERROR(__xludf.DUMMYFUNCTION("""COMPUTED_VALUE"""),"4ºPav.-Antecâmara Setor A")</f>
        <v>4ºPav.-Antecâmara Setor A</v>
      </c>
      <c r="B136" s="108" t="str">
        <f>IFERROR(__xludf.DUMMYFUNCTION("""COMPUTED_VALUE"""),"4ºPav.")</f>
        <v>4ºPav.</v>
      </c>
      <c r="C136" s="108" t="str">
        <f>IFERROR(__xludf.DUMMYFUNCTION("""COMPUTED_VALUE"""),"Antecâmara Setor A")</f>
        <v>Antecâmara Setor A</v>
      </c>
      <c r="D136" s="108" t="str">
        <f>IFERROR(__xludf.DUMMYFUNCTION("""COMPUTED_VALUE"""),"4ºPav.")</f>
        <v>4ºPav.</v>
      </c>
      <c r="E136" s="108" t="str">
        <f>IFERROR(__xludf.DUMMYFUNCTION("""COMPUTED_VALUE"""),"A")</f>
        <v>A</v>
      </c>
      <c r="F136" s="108">
        <f>IFERROR(__xludf.DUMMYFUNCTION("""COMPUTED_VALUE"""),43.0)</f>
        <v>43</v>
      </c>
      <c r="G136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bfb23c51b77540b7b16ca78115e003a5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bfb23c51b77540b7b16ca78115e003a5&amp;showComments=1&amp;guid=6882be48-6626-5238-d3df-94e9f0a0019d</v>
      </c>
      <c r="H136" s="108" t="str">
        <f>IFERROR(__xludf.DUMMYFUNCTION("""COMPUTED_VALUE"""),"Circulação / Corredores")</f>
        <v>Circulação / Corredores</v>
      </c>
      <c r="I136" s="108"/>
      <c r="J136" s="108"/>
    </row>
    <row r="137">
      <c r="A137" s="109" t="str">
        <f>IFERROR(__xludf.DUMMYFUNCTION("""COMPUTED_VALUE"""),"4ºPav.-Antecâmara Setor B")</f>
        <v>4ºPav.-Antecâmara Setor B</v>
      </c>
      <c r="B137" s="108" t="str">
        <f>IFERROR(__xludf.DUMMYFUNCTION("""COMPUTED_VALUE"""),"4ºPav.")</f>
        <v>4ºPav.</v>
      </c>
      <c r="C137" s="108" t="str">
        <f>IFERROR(__xludf.DUMMYFUNCTION("""COMPUTED_VALUE"""),"Antecâmara Setor B")</f>
        <v>Antecâmara Setor B</v>
      </c>
      <c r="D137" s="108" t="str">
        <f>IFERROR(__xludf.DUMMYFUNCTION("""COMPUTED_VALUE"""),"4ºPav.")</f>
        <v>4ºPav.</v>
      </c>
      <c r="E137" s="108" t="str">
        <f>IFERROR(__xludf.DUMMYFUNCTION("""COMPUTED_VALUE"""),"B")</f>
        <v>B</v>
      </c>
      <c r="F137" s="108">
        <f>IFERROR(__xludf.DUMMYFUNCTION("""COMPUTED_VALUE"""),42.0)</f>
        <v>42</v>
      </c>
      <c r="G137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showComments=1&amp;guid=6882be48-6626-5238-d3df-94e9f0a0019d</v>
      </c>
      <c r="H137" s="108" t="str">
        <f>IFERROR(__xludf.DUMMYFUNCTION("""COMPUTED_VALUE"""),"Circulação / Corredores")</f>
        <v>Circulação / Corredores</v>
      </c>
      <c r="I137" s="109" t="str">
        <f>IFERROR(__xludf.DUMMYFUNCTION("""COMPUTED_VALUE"""),"https://photos.google.com/search/4%C2%BAPav.-Antec%C3%A2mara%20Setor%20B")</f>
        <v>https://photos.google.com/search/4%C2%BAPav.-Antec%C3%A2mara%20Setor%20B</v>
      </c>
      <c r="J137" s="108"/>
    </row>
    <row r="138">
      <c r="A138" s="109" t="str">
        <f>IFERROR(__xludf.DUMMYFUNCTION("""COMPUTED_VALUE"""),"4ºPav.-Circulação Monta Carga")</f>
        <v>4ºPav.-Circulação Monta Carga</v>
      </c>
      <c r="B138" s="108" t="str">
        <f>IFERROR(__xludf.DUMMYFUNCTION("""COMPUTED_VALUE"""),"4ºPav.")</f>
        <v>4ºPav.</v>
      </c>
      <c r="C138" s="108" t="str">
        <f>IFERROR(__xludf.DUMMYFUNCTION("""COMPUTED_VALUE"""),"Circulação Monta Carga")</f>
        <v>Circulação Monta Carga</v>
      </c>
      <c r="D138" s="108" t="str">
        <f>IFERROR(__xludf.DUMMYFUNCTION("""COMPUTED_VALUE"""),"4ºPav.")</f>
        <v>4ºPav.</v>
      </c>
      <c r="E138" s="108" t="str">
        <f>IFERROR(__xludf.DUMMYFUNCTION("""COMPUTED_VALUE"""),"A")</f>
        <v>A</v>
      </c>
      <c r="F138" s="108">
        <f>IFERROR(__xludf.DUMMYFUNCTION("""COMPUTED_VALUE"""),46.0)</f>
        <v>46</v>
      </c>
      <c r="G138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showComments=1&amp;guid=6882be48-6626-5238-d3df-94e9f0a0019d</v>
      </c>
      <c r="H138" s="108" t="str">
        <f>IFERROR(__xludf.DUMMYFUNCTION("""COMPUTED_VALUE"""),"Outros")</f>
        <v>Outros</v>
      </c>
      <c r="I138" s="108"/>
      <c r="J138" s="108"/>
    </row>
    <row r="139">
      <c r="A139" s="109" t="str">
        <f>IFERROR(__xludf.DUMMYFUNCTION("""COMPUTED_VALUE"""),"4ºPav.-Copa")</f>
        <v>4ºPav.-Copa</v>
      </c>
      <c r="B139" s="108" t="str">
        <f>IFERROR(__xludf.DUMMYFUNCTION("""COMPUTED_VALUE"""),"4ºPav.")</f>
        <v>4ºPav.</v>
      </c>
      <c r="C139" s="108" t="str">
        <f>IFERROR(__xludf.DUMMYFUNCTION("""COMPUTED_VALUE"""),"Copa")</f>
        <v>Copa</v>
      </c>
      <c r="D139" s="108" t="str">
        <f>IFERROR(__xludf.DUMMYFUNCTION("""COMPUTED_VALUE"""),"4ºPav.")</f>
        <v>4ºPav.</v>
      </c>
      <c r="E139" s="108"/>
      <c r="F139" s="108">
        <f>IFERROR(__xludf.DUMMYFUNCTION("""COMPUTED_VALUE"""),19.0)</f>
        <v>19</v>
      </c>
      <c r="G139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76e429eff15d4c1ab64ed6f30d2b3266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76e429eff15d4c1ab64ed6f30d2b3266&amp;showComments=1&amp;guid=6882be48-6626-5238-d3df-94e9f0a0019d</v>
      </c>
      <c r="H139" s="108" t="str">
        <f>IFERROR(__xludf.DUMMYFUNCTION("""COMPUTED_VALUE"""),"Copa")</f>
        <v>Copa</v>
      </c>
      <c r="I139" s="108"/>
      <c r="J139" s="108"/>
    </row>
    <row r="140">
      <c r="A140" s="109" t="str">
        <f>IFERROR(__xludf.DUMMYFUNCTION("""COMPUTED_VALUE"""),"4ºPav.-Copa Funcionários")</f>
        <v>4ºPav.-Copa Funcionários</v>
      </c>
      <c r="B140" s="108" t="str">
        <f>IFERROR(__xludf.DUMMYFUNCTION("""COMPUTED_VALUE"""),"4ºPav.")</f>
        <v>4ºPav.</v>
      </c>
      <c r="C140" s="108" t="str">
        <f>IFERROR(__xludf.DUMMYFUNCTION("""COMPUTED_VALUE"""),"Copa Funcionários")</f>
        <v>Copa Funcionários</v>
      </c>
      <c r="D140" s="108" t="str">
        <f>IFERROR(__xludf.DUMMYFUNCTION("""COMPUTED_VALUE"""),"4ºPav.")</f>
        <v>4ºPav.</v>
      </c>
      <c r="E140" s="108"/>
      <c r="F140" s="108">
        <f>IFERROR(__xludf.DUMMYFUNCTION("""COMPUTED_VALUE"""),14.0)</f>
        <v>14</v>
      </c>
      <c r="G140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44e252021cf2449ea95e291936034e30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44e252021cf2449ea95e291936034e30&amp;showComments=1&amp;guid=6882be48-6626-5238-d3df-94e9f0a0019d</v>
      </c>
      <c r="H140" s="108" t="str">
        <f>IFERROR(__xludf.DUMMYFUNCTION("""COMPUTED_VALUE"""),"Copa")</f>
        <v>Copa</v>
      </c>
      <c r="I140" s="109" t="str">
        <f>IFERROR(__xludf.DUMMYFUNCTION("""COMPUTED_VALUE"""),"https://photos.google.com/search/4%C2%BAPav.-Copa%20Funcion%C3%A1rios")</f>
        <v>https://photos.google.com/search/4%C2%BAPav.-Copa%20Funcion%C3%A1rios</v>
      </c>
      <c r="J140" s="108"/>
    </row>
    <row r="141">
      <c r="A141" s="109" t="str">
        <f>IFERROR(__xludf.DUMMYFUNCTION("""COMPUTED_VALUE"""),"4ºPav.-Copa para Acompanhantes")</f>
        <v>4ºPav.-Copa para Acompanhantes</v>
      </c>
      <c r="B141" s="108" t="str">
        <f>IFERROR(__xludf.DUMMYFUNCTION("""COMPUTED_VALUE"""),"4ºPav.")</f>
        <v>4ºPav.</v>
      </c>
      <c r="C141" s="108" t="str">
        <f>IFERROR(__xludf.DUMMYFUNCTION("""COMPUTED_VALUE"""),"Copa para Acompanhantes")</f>
        <v>Copa para Acompanhantes</v>
      </c>
      <c r="D141" s="108" t="str">
        <f>IFERROR(__xludf.DUMMYFUNCTION("""COMPUTED_VALUE"""),"4ºPav.")</f>
        <v>4ºPav.</v>
      </c>
      <c r="E141" s="108"/>
      <c r="F141" s="108">
        <f>IFERROR(__xludf.DUMMYFUNCTION("""COMPUTED_VALUE"""),6.0)</f>
        <v>6</v>
      </c>
      <c r="G141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bc79981087bd4f24af33066331f5ffb3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bc79981087bd4f24af33066331f5ffb3&amp;showComments=1&amp;guid=6882be48-6626-5238-d3df-94e9f0a0019d</v>
      </c>
      <c r="H141" s="108" t="str">
        <f>IFERROR(__xludf.DUMMYFUNCTION("""COMPUTED_VALUE"""),"Copa")</f>
        <v>Copa</v>
      </c>
      <c r="I141" s="108"/>
      <c r="J141" s="108"/>
    </row>
    <row r="142">
      <c r="A142" s="109" t="str">
        <f>IFERROR(__xludf.DUMMYFUNCTION("""COMPUTED_VALUE"""),"4ºPav.-Corredor Central Setor A")</f>
        <v>4ºPav.-Corredor Central Setor A</v>
      </c>
      <c r="B142" s="108" t="str">
        <f>IFERROR(__xludf.DUMMYFUNCTION("""COMPUTED_VALUE"""),"4ºPav.")</f>
        <v>4ºPav.</v>
      </c>
      <c r="C142" s="108" t="str">
        <f>IFERROR(__xludf.DUMMYFUNCTION("""COMPUTED_VALUE"""),"Corredor Central Setor A")</f>
        <v>Corredor Central Setor A</v>
      </c>
      <c r="D142" s="108" t="str">
        <f>IFERROR(__xludf.DUMMYFUNCTION("""COMPUTED_VALUE"""),"4ºPav.")</f>
        <v>4ºPav.</v>
      </c>
      <c r="E142" s="108" t="str">
        <f>IFERROR(__xludf.DUMMYFUNCTION("""COMPUTED_VALUE"""),"A")</f>
        <v>A</v>
      </c>
      <c r="F142" s="108">
        <f>IFERROR(__xludf.DUMMYFUNCTION("""COMPUTED_VALUE"""),38.0)</f>
        <v>38</v>
      </c>
      <c r="G142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0eb61c53b13b4c07a6a9a81a86807e1b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0eb61c53b13b4c07a6a9a81a86807e1b&amp;showComments=1&amp;guid=6882be48-6626-5238-d3df-94e9f0a0019d</v>
      </c>
      <c r="H142" s="108" t="str">
        <f>IFERROR(__xludf.DUMMYFUNCTION("""COMPUTED_VALUE"""),"Circulação / Corredores")</f>
        <v>Circulação / Corredores</v>
      </c>
      <c r="I142" s="109" t="str">
        <f>IFERROR(__xludf.DUMMYFUNCTION("""COMPUTED_VALUE"""),"https://photos.google.com/search/4%C2%BAPav.-Corredor%20Central%20Setor%20A")</f>
        <v>https://photos.google.com/search/4%C2%BAPav.-Corredor%20Central%20Setor%20A</v>
      </c>
      <c r="J142" s="108"/>
    </row>
    <row r="143">
      <c r="A143" s="109" t="str">
        <f>IFERROR(__xludf.DUMMYFUNCTION("""COMPUTED_VALUE"""),"4ºPav.-Corredor Central Setor B")</f>
        <v>4ºPav.-Corredor Central Setor B</v>
      </c>
      <c r="B143" s="108" t="str">
        <f>IFERROR(__xludf.DUMMYFUNCTION("""COMPUTED_VALUE"""),"4ºPav.")</f>
        <v>4ºPav.</v>
      </c>
      <c r="C143" s="108" t="str">
        <f>IFERROR(__xludf.DUMMYFUNCTION("""COMPUTED_VALUE"""),"Corredor Central Setor B")</f>
        <v>Corredor Central Setor B</v>
      </c>
      <c r="D143" s="108" t="str">
        <f>IFERROR(__xludf.DUMMYFUNCTION("""COMPUTED_VALUE"""),"4ºPav.")</f>
        <v>4ºPav.</v>
      </c>
      <c r="E143" s="108" t="str">
        <f>IFERROR(__xludf.DUMMYFUNCTION("""COMPUTED_VALUE"""),"B")</f>
        <v>B</v>
      </c>
      <c r="F143" s="108">
        <f>IFERROR(__xludf.DUMMYFUNCTION("""COMPUTED_VALUE"""),39.0)</f>
        <v>39</v>
      </c>
      <c r="G143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f0ba4fc402ce4c1a80cb9569903c6933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f0ba4fc402ce4c1a80cb9569903c6933&amp;showComments=1&amp;guid=6882be48-6626-5238-d3df-94e9f0a0019d</v>
      </c>
      <c r="H143" s="108" t="str">
        <f>IFERROR(__xludf.DUMMYFUNCTION("""COMPUTED_VALUE"""),"Circulação / Corredores")</f>
        <v>Circulação / Corredores</v>
      </c>
      <c r="I143" s="109" t="str">
        <f>IFERROR(__xludf.DUMMYFUNCTION("""COMPUTED_VALUE"""),"https://photos.google.com/search/4%C2%BAPav.-Corredor%20Central%20Setor%20B")</f>
        <v>https://photos.google.com/search/4%C2%BAPav.-Corredor%20Central%20Setor%20B</v>
      </c>
      <c r="J143" s="108"/>
    </row>
    <row r="144">
      <c r="A144" s="109" t="str">
        <f>IFERROR(__xludf.DUMMYFUNCTION("""COMPUTED_VALUE"""),"4ºPav.-Depósito de Materiais e Equipamentos 1")</f>
        <v>4ºPav.-Depósito de Materiais e Equipamentos 1</v>
      </c>
      <c r="B144" s="108" t="str">
        <f>IFERROR(__xludf.DUMMYFUNCTION("""COMPUTED_VALUE"""),"4ºPav.")</f>
        <v>4ºPav.</v>
      </c>
      <c r="C144" s="108" t="str">
        <f>IFERROR(__xludf.DUMMYFUNCTION("""COMPUTED_VALUE"""),"Depósito de Materiais e Equipamentos 1")</f>
        <v>Depósito de Materiais e Equipamentos 1</v>
      </c>
      <c r="D144" s="108" t="str">
        <f>IFERROR(__xludf.DUMMYFUNCTION("""COMPUTED_VALUE"""),"4ºPav.")</f>
        <v>4ºPav.</v>
      </c>
      <c r="E144" s="108"/>
      <c r="F144" s="108">
        <f>IFERROR(__xludf.DUMMYFUNCTION("""COMPUTED_VALUE"""),20.0)</f>
        <v>20</v>
      </c>
      <c r="G144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showComments=1&amp;guid=6882be48-6626-5238-d3df-94e9f0a0019d</v>
      </c>
      <c r="H144" s="108" t="str">
        <f>IFERROR(__xludf.DUMMYFUNCTION("""COMPUTED_VALUE"""),"Depósito")</f>
        <v>Depósito</v>
      </c>
      <c r="I144" s="108"/>
      <c r="J144" s="108"/>
    </row>
    <row r="145">
      <c r="A145" s="109" t="str">
        <f>IFERROR(__xludf.DUMMYFUNCTION("""COMPUTED_VALUE"""),"4ºPav.-Depósito de Materiais e Equipamentos 2")</f>
        <v>4ºPav.-Depósito de Materiais e Equipamentos 2</v>
      </c>
      <c r="B145" s="108" t="str">
        <f>IFERROR(__xludf.DUMMYFUNCTION("""COMPUTED_VALUE"""),"4ºPav.")</f>
        <v>4ºPav.</v>
      </c>
      <c r="C145" s="108" t="str">
        <f>IFERROR(__xludf.DUMMYFUNCTION("""COMPUTED_VALUE"""),"Depósito de Materiais e Equipamentos 2")</f>
        <v>Depósito de Materiais e Equipamentos 2</v>
      </c>
      <c r="D145" s="108" t="str">
        <f>IFERROR(__xludf.DUMMYFUNCTION("""COMPUTED_VALUE"""),"4ºPav.")</f>
        <v>4ºPav.</v>
      </c>
      <c r="E145" s="108"/>
      <c r="F145" s="108">
        <f>IFERROR(__xludf.DUMMYFUNCTION("""COMPUTED_VALUE"""),22.0)</f>
        <v>22</v>
      </c>
      <c r="G145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showComments=1&amp;guid=6882be48-6626-5238-d3df-94e9f0a0019d</v>
      </c>
      <c r="H145" s="108" t="str">
        <f>IFERROR(__xludf.DUMMYFUNCTION("""COMPUTED_VALUE"""),"Depósito")</f>
        <v>Depósito</v>
      </c>
      <c r="I145" s="108"/>
      <c r="J145" s="108"/>
    </row>
    <row r="146">
      <c r="A146" s="109" t="str">
        <f>IFERROR(__xludf.DUMMYFUNCTION("""COMPUTED_VALUE"""),"4ºPav.-Depósito Temporário Resíduos")</f>
        <v>4ºPav.-Depósito Temporário Resíduos</v>
      </c>
      <c r="B146" s="108" t="str">
        <f>IFERROR(__xludf.DUMMYFUNCTION("""COMPUTED_VALUE"""),"4ºPav.")</f>
        <v>4ºPav.</v>
      </c>
      <c r="C146" s="108" t="str">
        <f>IFERROR(__xludf.DUMMYFUNCTION("""COMPUTED_VALUE"""),"Depósito Temporário Resíduos")</f>
        <v>Depósito Temporário Resíduos</v>
      </c>
      <c r="D146" s="108" t="str">
        <f>IFERROR(__xludf.DUMMYFUNCTION("""COMPUTED_VALUE"""),"4ºPav.")</f>
        <v>4ºPav.</v>
      </c>
      <c r="E146" s="108"/>
      <c r="F146" s="108">
        <f>IFERROR(__xludf.DUMMYFUNCTION("""COMPUTED_VALUE"""),28.0)</f>
        <v>28</v>
      </c>
      <c r="G146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64d3da25bfb141a68b86c6ad7309b561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64d3da25bfb141a68b86c6ad7309b561&amp;showComments=1&amp;guid=6882be48-6626-5238-d3df-94e9f0a0019d</v>
      </c>
      <c r="H146" s="108" t="str">
        <f>IFERROR(__xludf.DUMMYFUNCTION("""COMPUTED_VALUE"""),"Depósito")</f>
        <v>Depósito</v>
      </c>
      <c r="I146" s="108"/>
      <c r="J146" s="108"/>
    </row>
    <row r="147">
      <c r="A147" s="109" t="str">
        <f>IFERROR(__xludf.DUMMYFUNCTION("""COMPUTED_VALUE"""),"4ºPav.-Escada Prova de Fogo Setor B")</f>
        <v>4ºPav.-Escada Prova de Fogo Setor B</v>
      </c>
      <c r="B147" s="108" t="str">
        <f>IFERROR(__xludf.DUMMYFUNCTION("""COMPUTED_VALUE"""),"4ºPav.")</f>
        <v>4ºPav.</v>
      </c>
      <c r="C147" s="108" t="str">
        <f>IFERROR(__xludf.DUMMYFUNCTION("""COMPUTED_VALUE"""),"Escada Prova de Fogo Setor B")</f>
        <v>Escada Prova de Fogo Setor B</v>
      </c>
      <c r="D147" s="108" t="str">
        <f>IFERROR(__xludf.DUMMYFUNCTION("""COMPUTED_VALUE"""),"4ºPav.")</f>
        <v>4ºPav.</v>
      </c>
      <c r="E147" s="108" t="str">
        <f>IFERROR(__xludf.DUMMYFUNCTION("""COMPUTED_VALUE"""),"B")</f>
        <v>B</v>
      </c>
      <c r="F147" s="108">
        <f>IFERROR(__xludf.DUMMYFUNCTION("""COMPUTED_VALUE"""),47.0)</f>
        <v>47</v>
      </c>
      <c r="G147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showComments=1&amp;guid=6882b"&amp;"e48-6626-5238-d3df-94e9f0a0019d&amp;commentId=urn:adsk.comments:social.comment:99b431af87e74918b495827dbd16cb5c")</f>
        <v>https://myhub.autodesk360.com/ue29d95bb/g/projects/20210514412106331/data/dXJuOmFkc2sud2lwcHJvZDpmcy5mb2xkZXI6Y28ucU04eGNtQzdReXliS0NURmJQYUFTQQ/dXJuOmFkc2sud2lwcHJvZDpkbS5saW5lYWdlOldZbnMxMUI5VHMyZTJveWJmSWdIaXc/viewer?version=1&amp;showComments=1&amp;guid=6882be48-6626-5238-d3df-94e9f0a0019d&amp;commentId=urn:adsk.comments:social.comment:99b431af87e74918b495827dbd16cb5c</v>
      </c>
      <c r="H147" s="108" t="str">
        <f>IFERROR(__xludf.DUMMYFUNCTION("""COMPUTED_VALUE"""),"Escadas")</f>
        <v>Escadas</v>
      </c>
      <c r="I147" s="108"/>
      <c r="J147" s="108"/>
    </row>
    <row r="148">
      <c r="A148" s="109" t="str">
        <f>IFERROR(__xludf.DUMMYFUNCTION("""COMPUTED_VALUE"""),"4ºPav.-Guarda Pertences Acompanhantes")</f>
        <v>4ºPav.-Guarda Pertences Acompanhantes</v>
      </c>
      <c r="B148" s="108" t="str">
        <f>IFERROR(__xludf.DUMMYFUNCTION("""COMPUTED_VALUE"""),"4ºPav.")</f>
        <v>4ºPav.</v>
      </c>
      <c r="C148" s="108" t="str">
        <f>IFERROR(__xludf.DUMMYFUNCTION("""COMPUTED_VALUE"""),"Guarda Pertences Acompanhantes")</f>
        <v>Guarda Pertences Acompanhantes</v>
      </c>
      <c r="D148" s="108" t="str">
        <f>IFERROR(__xludf.DUMMYFUNCTION("""COMPUTED_VALUE"""),"4ºPav.")</f>
        <v>4ºPav.</v>
      </c>
      <c r="E148" s="108"/>
      <c r="F148" s="108">
        <f>IFERROR(__xludf.DUMMYFUNCTION("""COMPUTED_VALUE"""),8.0)</f>
        <v>8</v>
      </c>
      <c r="G148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d7de7c450889480398541df2bae48caa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d7de7c450889480398541df2bae48caa&amp;showComments=1&amp;guid=6882be48-6626-5238-d3df-94e9f0a0019d</v>
      </c>
      <c r="H148" s="108" t="str">
        <f>IFERROR(__xludf.DUMMYFUNCTION("""COMPUTED_VALUE"""),"Outros")</f>
        <v>Outros</v>
      </c>
      <c r="I148" s="108"/>
      <c r="J148" s="108"/>
    </row>
    <row r="149">
      <c r="A149" s="109" t="str">
        <f>IFERROR(__xludf.DUMMYFUNCTION("""COMPUTED_VALUE"""),"4ºPav.-Hall Elevador Público")</f>
        <v>4ºPav.-Hall Elevador Público</v>
      </c>
      <c r="B149" s="108" t="str">
        <f>IFERROR(__xludf.DUMMYFUNCTION("""COMPUTED_VALUE"""),"4ºPav.")</f>
        <v>4ºPav.</v>
      </c>
      <c r="C149" s="108" t="str">
        <f>IFERROR(__xludf.DUMMYFUNCTION("""COMPUTED_VALUE"""),"Hall Elevador Público")</f>
        <v>Hall Elevador Público</v>
      </c>
      <c r="D149" s="108" t="str">
        <f>IFERROR(__xludf.DUMMYFUNCTION("""COMPUTED_VALUE"""),"4ºPav.")</f>
        <v>4ºPav.</v>
      </c>
      <c r="E149" s="108" t="str">
        <f>IFERROR(__xludf.DUMMYFUNCTION("""COMPUTED_VALUE"""),"A")</f>
        <v>A</v>
      </c>
      <c r="F149" s="108">
        <f>IFERROR(__xludf.DUMMYFUNCTION("""COMPUTED_VALUE"""),45.0)</f>
        <v>45</v>
      </c>
      <c r="G149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06240a348e8642a787552bea1c7e455a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06240a348e8642a787552bea1c7e455a&amp;showComments=1&amp;guid=6882be48-6626-5238-d3df-94e9f0a0019d</v>
      </c>
      <c r="H149" s="108" t="str">
        <f>IFERROR(__xludf.DUMMYFUNCTION("""COMPUTED_VALUE"""),"Circulação / Corredores")</f>
        <v>Circulação / Corredores</v>
      </c>
      <c r="I149" s="109" t="str">
        <f>IFERROR(__xludf.DUMMYFUNCTION("""COMPUTED_VALUE"""),"https://photos.google.com/search/4%C2%BAPav.-Hall%20Elevador%20P%C3%BAblico")</f>
        <v>https://photos.google.com/search/4%C2%BAPav.-Hall%20Elevador%20P%C3%BAblico</v>
      </c>
      <c r="J149" s="108"/>
    </row>
    <row r="150">
      <c r="A150" s="109" t="str">
        <f>IFERROR(__xludf.DUMMYFUNCTION("""COMPUTED_VALUE"""),"4ºPav.-Hall Elevador Serviço")</f>
        <v>4ºPav.-Hall Elevador Serviço</v>
      </c>
      <c r="B150" s="108" t="str">
        <f>IFERROR(__xludf.DUMMYFUNCTION("""COMPUTED_VALUE"""),"4ºPav.")</f>
        <v>4ºPav.</v>
      </c>
      <c r="C150" s="108" t="str">
        <f>IFERROR(__xludf.DUMMYFUNCTION("""COMPUTED_VALUE"""),"Hall Elevador Serviço")</f>
        <v>Hall Elevador Serviço</v>
      </c>
      <c r="D150" s="108" t="str">
        <f>IFERROR(__xludf.DUMMYFUNCTION("""COMPUTED_VALUE"""),"4ºPav.")</f>
        <v>4ºPav.</v>
      </c>
      <c r="E150" s="108" t="str">
        <f>IFERROR(__xludf.DUMMYFUNCTION("""COMPUTED_VALUE"""),"B")</f>
        <v>B</v>
      </c>
      <c r="F150" s="108">
        <f>IFERROR(__xludf.DUMMYFUNCTION("""COMPUTED_VALUE"""),44.0)</f>
        <v>44</v>
      </c>
      <c r="G150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showComments=1&amp;guid=6882be48-6626-5238-d3df-94e9f0a0019d</v>
      </c>
      <c r="H150" s="108" t="str">
        <f>IFERROR(__xludf.DUMMYFUNCTION("""COMPUTED_VALUE"""),"Circulação / Corredores")</f>
        <v>Circulação / Corredores</v>
      </c>
      <c r="I150" s="109" t="str">
        <f>IFERROR(__xludf.DUMMYFUNCTION("""COMPUTED_VALUE"""),"https://photos.google.com/search/4%C2%BAPav.-Hall%20Elevador%20Servi%C3%A7o")</f>
        <v>https://photos.google.com/search/4%C2%BAPav.-Hall%20Elevador%20Servi%C3%A7o</v>
      </c>
      <c r="J150" s="108"/>
    </row>
    <row r="151">
      <c r="A151" s="109" t="str">
        <f>IFERROR(__xludf.DUMMYFUNCTION("""COMPUTED_VALUE"""),"4ºPav.-Posto de Enfermagem Setor A")</f>
        <v>4ºPav.-Posto de Enfermagem Setor A</v>
      </c>
      <c r="B151" s="108" t="str">
        <f>IFERROR(__xludf.DUMMYFUNCTION("""COMPUTED_VALUE"""),"4ºPav.")</f>
        <v>4ºPav.</v>
      </c>
      <c r="C151" s="108" t="str">
        <f>IFERROR(__xludf.DUMMYFUNCTION("""COMPUTED_VALUE"""),"Posto de Enfermagem Setor A")</f>
        <v>Posto de Enfermagem Setor A</v>
      </c>
      <c r="D151" s="108" t="str">
        <f>IFERROR(__xludf.DUMMYFUNCTION("""COMPUTED_VALUE"""),"4ºPav.")</f>
        <v>4ºPav.</v>
      </c>
      <c r="E151" s="108" t="str">
        <f>IFERROR(__xludf.DUMMYFUNCTION("""COMPUTED_VALUE"""),"A")</f>
        <v>A</v>
      </c>
      <c r="F151" s="108">
        <f>IFERROR(__xludf.DUMMYFUNCTION("""COMPUTED_VALUE"""),10.0)</f>
        <v>10</v>
      </c>
      <c r="G151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1a3e1d801d9d44699df66ce3a874c56f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1a3e1d801d9d44699df66ce3a874c56f&amp;showComments=1&amp;guid=6882be48-6626-5238-d3df-94e9f0a0019d</v>
      </c>
      <c r="H151" s="108" t="str">
        <f>IFERROR(__xludf.DUMMYFUNCTION("""COMPUTED_VALUE"""),"Posto Enfermagem")</f>
        <v>Posto Enfermagem</v>
      </c>
      <c r="I151" s="109" t="str">
        <f>IFERROR(__xludf.DUMMYFUNCTION("""COMPUTED_VALUE"""),"https://photos.google.com/search/4%C2%BAPav.-Posto%20de%20Enfermagem%202")</f>
        <v>https://photos.google.com/search/4%C2%BAPav.-Posto%20de%20Enfermagem%202</v>
      </c>
      <c r="J151" s="108"/>
    </row>
    <row r="152">
      <c r="A152" s="109" t="str">
        <f>IFERROR(__xludf.DUMMYFUNCTION("""COMPUTED_VALUE"""),"4ºPav.-Posto de Enfermagem Setor B")</f>
        <v>4ºPav.-Posto de Enfermagem Setor B</v>
      </c>
      <c r="B152" s="108" t="str">
        <f>IFERROR(__xludf.DUMMYFUNCTION("""COMPUTED_VALUE"""),"4ºPav.")</f>
        <v>4ºPav.</v>
      </c>
      <c r="C152" s="108" t="str">
        <f>IFERROR(__xludf.DUMMYFUNCTION("""COMPUTED_VALUE"""),"Posto de Enfermagem Setor B")</f>
        <v>Posto de Enfermagem Setor B</v>
      </c>
      <c r="D152" s="108" t="str">
        <f>IFERROR(__xludf.DUMMYFUNCTION("""COMPUTED_VALUE"""),"4ºPav.")</f>
        <v>4ºPav.</v>
      </c>
      <c r="E152" s="108" t="str">
        <f>IFERROR(__xludf.DUMMYFUNCTION("""COMPUTED_VALUE"""),"B")</f>
        <v>B</v>
      </c>
      <c r="F152" s="108">
        <f>IFERROR(__xludf.DUMMYFUNCTION("""COMPUTED_VALUE"""),9.0)</f>
        <v>9</v>
      </c>
      <c r="G152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74ee359d8bd1475095a2375983d6f4d5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74ee359d8bd1475095a2375983d6f4d5&amp;showComments=1&amp;guid=6882be48-6626-5238-d3df-94e9f0a0019d</v>
      </c>
      <c r="H152" s="108" t="str">
        <f>IFERROR(__xludf.DUMMYFUNCTION("""COMPUTED_VALUE"""),"Posto Enfermagem")</f>
        <v>Posto Enfermagem</v>
      </c>
      <c r="I152" s="109" t="str">
        <f>IFERROR(__xludf.DUMMYFUNCTION("""COMPUTED_VALUE"""),"https://photos.google.com/search/4%C2%BAPav.-Posto%20de%20Enfermagem%201")</f>
        <v>https://photos.google.com/search/4%C2%BAPav.-Posto%20de%20Enfermagem%201</v>
      </c>
      <c r="J152" s="108"/>
    </row>
    <row r="153">
      <c r="A153" s="109" t="str">
        <f>IFERROR(__xludf.DUMMYFUNCTION("""COMPUTED_VALUE"""),"4ºPav.-Prescrição 1")</f>
        <v>4ºPav.-Prescrição 1</v>
      </c>
      <c r="B153" s="108" t="str">
        <f>IFERROR(__xludf.DUMMYFUNCTION("""COMPUTED_VALUE"""),"4ºPav.")</f>
        <v>4ºPav.</v>
      </c>
      <c r="C153" s="108" t="str">
        <f>IFERROR(__xludf.DUMMYFUNCTION("""COMPUTED_VALUE"""),"Prescrição 1")</f>
        <v>Prescrição 1</v>
      </c>
      <c r="D153" s="108" t="str">
        <f>IFERROR(__xludf.DUMMYFUNCTION("""COMPUTED_VALUE"""),"4ºPav.")</f>
        <v>4ºPav.</v>
      </c>
      <c r="E153" s="108"/>
      <c r="F153" s="108">
        <f>IFERROR(__xludf.DUMMYFUNCTION("""COMPUTED_VALUE"""),11.0)</f>
        <v>11</v>
      </c>
      <c r="G153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8638f2a334684796a137a81a4383ead2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8638f2a334684796a137a81a4383ead2&amp;showComments=1&amp;guid=6882be48-6626-5238-d3df-94e9f0a0019d</v>
      </c>
      <c r="H153" s="108" t="str">
        <f>IFERROR(__xludf.DUMMYFUNCTION("""COMPUTED_VALUE"""),"Posto Enfermagem")</f>
        <v>Posto Enfermagem</v>
      </c>
      <c r="I153" s="109" t="str">
        <f>IFERROR(__xludf.DUMMYFUNCTION("""COMPUTED_VALUE"""),"https://photos.google.com/search/4%C2%BAPav.-Prescri%C3%A7%C3%A3o%201")</f>
        <v>https://photos.google.com/search/4%C2%BAPav.-Prescri%C3%A7%C3%A3o%201</v>
      </c>
      <c r="J153" s="108"/>
    </row>
    <row r="154">
      <c r="A154" s="109" t="str">
        <f>IFERROR(__xludf.DUMMYFUNCTION("""COMPUTED_VALUE"""),"4ºPav.-Prescrição 2")</f>
        <v>4ºPav.-Prescrição 2</v>
      </c>
      <c r="B154" s="108" t="str">
        <f>IFERROR(__xludf.DUMMYFUNCTION("""COMPUTED_VALUE"""),"4ºPav.")</f>
        <v>4ºPav.</v>
      </c>
      <c r="C154" s="108" t="str">
        <f>IFERROR(__xludf.DUMMYFUNCTION("""COMPUTED_VALUE"""),"Prescrição 2")</f>
        <v>Prescrição 2</v>
      </c>
      <c r="D154" s="108" t="str">
        <f>IFERROR(__xludf.DUMMYFUNCTION("""COMPUTED_VALUE"""),"4ºPav.")</f>
        <v>4ºPav.</v>
      </c>
      <c r="E154" s="108"/>
      <c r="F154" s="108">
        <f>IFERROR(__xludf.DUMMYFUNCTION("""COMPUTED_VALUE"""),12.0)</f>
        <v>12</v>
      </c>
      <c r="G154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86800c9ae90a40bd979652e64a87513d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86800c9ae90a40bd979652e64a87513d&amp;showComments=1&amp;guid=6882be48-6626-5238-d3df-94e9f0a0019d</v>
      </c>
      <c r="H154" s="108" t="str">
        <f>IFERROR(__xludf.DUMMYFUNCTION("""COMPUTED_VALUE"""),"Posto Enfermagem")</f>
        <v>Posto Enfermagem</v>
      </c>
      <c r="I154" s="109" t="str">
        <f>IFERROR(__xludf.DUMMYFUNCTION("""COMPUTED_VALUE"""),"https://photos.google.com/search/4%C2%BAPav.-Prescri%C3%A7%C3%A3o%202")</f>
        <v>https://photos.google.com/search/4%C2%BAPav.-Prescri%C3%A7%C3%A3o%202</v>
      </c>
      <c r="J154" s="108"/>
    </row>
    <row r="155">
      <c r="A155" s="108" t="str">
        <f>IFERROR(__xludf.DUMMYFUNCTION("""COMPUTED_VALUE"""),"4ºPav.-Quarto 01")</f>
        <v>4ºPav.-Quarto 01</v>
      </c>
      <c r="B155" s="108" t="str">
        <f>IFERROR(__xludf.DUMMYFUNCTION("""COMPUTED_VALUE"""),"4ºPav.")</f>
        <v>4ºPav.</v>
      </c>
      <c r="C155" s="108" t="str">
        <f>IFERROR(__xludf.DUMMYFUNCTION("""COMPUTED_VALUE"""),"Quarto 01")</f>
        <v>Quarto 01</v>
      </c>
      <c r="D155" s="108" t="str">
        <f>IFERROR(__xludf.DUMMYFUNCTION("""COMPUTED_VALUE"""),"4ºPav.")</f>
        <v>4ºPav.</v>
      </c>
      <c r="E155" s="108"/>
      <c r="F155" s="108"/>
      <c r="G155" s="108"/>
      <c r="H155" s="108" t="str">
        <f>IFERROR(__xludf.DUMMYFUNCTION("""COMPUTED_VALUE"""),"Quarto")</f>
        <v>Quarto</v>
      </c>
      <c r="I155" s="108"/>
      <c r="J155" s="108"/>
    </row>
    <row r="156">
      <c r="A156" s="108" t="str">
        <f>IFERROR(__xludf.DUMMYFUNCTION("""COMPUTED_VALUE"""),"4ºPav.-Quarto 02")</f>
        <v>4ºPav.-Quarto 02</v>
      </c>
      <c r="B156" s="108" t="str">
        <f>IFERROR(__xludf.DUMMYFUNCTION("""COMPUTED_VALUE"""),"4ºPav.")</f>
        <v>4ºPav.</v>
      </c>
      <c r="C156" s="108" t="str">
        <f>IFERROR(__xludf.DUMMYFUNCTION("""COMPUTED_VALUE"""),"Quarto 02")</f>
        <v>Quarto 02</v>
      </c>
      <c r="D156" s="108" t="str">
        <f>IFERROR(__xludf.DUMMYFUNCTION("""COMPUTED_VALUE"""),"4ºPav.")</f>
        <v>4ºPav.</v>
      </c>
      <c r="E156" s="108"/>
      <c r="F156" s="108"/>
      <c r="G156" s="108"/>
      <c r="H156" s="108" t="str">
        <f>IFERROR(__xludf.DUMMYFUNCTION("""COMPUTED_VALUE"""),"Quarto")</f>
        <v>Quarto</v>
      </c>
      <c r="I156" s="108"/>
      <c r="J156" s="108"/>
    </row>
    <row r="157">
      <c r="A157" s="108" t="str">
        <f>IFERROR(__xludf.DUMMYFUNCTION("""COMPUTED_VALUE"""),"4ºPav.-Quarto 03")</f>
        <v>4ºPav.-Quarto 03</v>
      </c>
      <c r="B157" s="108" t="str">
        <f>IFERROR(__xludf.DUMMYFUNCTION("""COMPUTED_VALUE"""),"4ºPav.")</f>
        <v>4ºPav.</v>
      </c>
      <c r="C157" s="108" t="str">
        <f>IFERROR(__xludf.DUMMYFUNCTION("""COMPUTED_VALUE"""),"Quarto 03")</f>
        <v>Quarto 03</v>
      </c>
      <c r="D157" s="108" t="str">
        <f>IFERROR(__xludf.DUMMYFUNCTION("""COMPUTED_VALUE"""),"4ºPav.")</f>
        <v>4ºPav.</v>
      </c>
      <c r="E157" s="108"/>
      <c r="F157" s="108"/>
      <c r="G157" s="108"/>
      <c r="H157" s="108" t="str">
        <f>IFERROR(__xludf.DUMMYFUNCTION("""COMPUTED_VALUE"""),"Quarto")</f>
        <v>Quarto</v>
      </c>
      <c r="I157" s="108"/>
      <c r="J157" s="108"/>
    </row>
    <row r="158">
      <c r="A158" s="108" t="str">
        <f>IFERROR(__xludf.DUMMYFUNCTION("""COMPUTED_VALUE"""),"4ºPav.-Quarto 04")</f>
        <v>4ºPav.-Quarto 04</v>
      </c>
      <c r="B158" s="108" t="str">
        <f>IFERROR(__xludf.DUMMYFUNCTION("""COMPUTED_VALUE"""),"4ºPav.")</f>
        <v>4ºPav.</v>
      </c>
      <c r="C158" s="108" t="str">
        <f>IFERROR(__xludf.DUMMYFUNCTION("""COMPUTED_VALUE"""),"Quarto 04")</f>
        <v>Quarto 04</v>
      </c>
      <c r="D158" s="108" t="str">
        <f>IFERROR(__xludf.DUMMYFUNCTION("""COMPUTED_VALUE"""),"4ºPav.")</f>
        <v>4ºPav.</v>
      </c>
      <c r="E158" s="108"/>
      <c r="F158" s="108"/>
      <c r="G158" s="108"/>
      <c r="H158" s="108" t="str">
        <f>IFERROR(__xludf.DUMMYFUNCTION("""COMPUTED_VALUE"""),"Quarto")</f>
        <v>Quarto</v>
      </c>
      <c r="I158" s="108"/>
      <c r="J158" s="108"/>
    </row>
    <row r="159">
      <c r="A159" s="108" t="str">
        <f>IFERROR(__xludf.DUMMYFUNCTION("""COMPUTED_VALUE"""),"4ºPav.-Quarto 05")</f>
        <v>4ºPav.-Quarto 05</v>
      </c>
      <c r="B159" s="108" t="str">
        <f>IFERROR(__xludf.DUMMYFUNCTION("""COMPUTED_VALUE"""),"4ºPav.")</f>
        <v>4ºPav.</v>
      </c>
      <c r="C159" s="108" t="str">
        <f>IFERROR(__xludf.DUMMYFUNCTION("""COMPUTED_VALUE"""),"Quarto 05")</f>
        <v>Quarto 05</v>
      </c>
      <c r="D159" s="108" t="str">
        <f>IFERROR(__xludf.DUMMYFUNCTION("""COMPUTED_VALUE"""),"4ºPav.")</f>
        <v>4ºPav.</v>
      </c>
      <c r="E159" s="108"/>
      <c r="F159" s="108"/>
      <c r="G159" s="108"/>
      <c r="H159" s="108" t="str">
        <f>IFERROR(__xludf.DUMMYFUNCTION("""COMPUTED_VALUE"""),"Quarto")</f>
        <v>Quarto</v>
      </c>
      <c r="I159" s="108"/>
      <c r="J159" s="108"/>
    </row>
    <row r="160">
      <c r="A160" s="108" t="str">
        <f>IFERROR(__xludf.DUMMYFUNCTION("""COMPUTED_VALUE"""),"4ºPav.-Quarto 06")</f>
        <v>4ºPav.-Quarto 06</v>
      </c>
      <c r="B160" s="108" t="str">
        <f>IFERROR(__xludf.DUMMYFUNCTION("""COMPUTED_VALUE"""),"4ºPav.")</f>
        <v>4ºPav.</v>
      </c>
      <c r="C160" s="108" t="str">
        <f>IFERROR(__xludf.DUMMYFUNCTION("""COMPUTED_VALUE"""),"Quarto 06")</f>
        <v>Quarto 06</v>
      </c>
      <c r="D160" s="108" t="str">
        <f>IFERROR(__xludf.DUMMYFUNCTION("""COMPUTED_VALUE"""),"4ºPav.")</f>
        <v>4ºPav.</v>
      </c>
      <c r="E160" s="108"/>
      <c r="F160" s="108"/>
      <c r="G160" s="108"/>
      <c r="H160" s="108" t="str">
        <f>IFERROR(__xludf.DUMMYFUNCTION("""COMPUTED_VALUE"""),"Quarto")</f>
        <v>Quarto</v>
      </c>
      <c r="I160" s="108"/>
      <c r="J160" s="108"/>
    </row>
    <row r="161">
      <c r="A161" s="108" t="str">
        <f>IFERROR(__xludf.DUMMYFUNCTION("""COMPUTED_VALUE"""),"4ºPav.-Quarto 07")</f>
        <v>4ºPav.-Quarto 07</v>
      </c>
      <c r="B161" s="108" t="str">
        <f>IFERROR(__xludf.DUMMYFUNCTION("""COMPUTED_VALUE"""),"4ºPav.")</f>
        <v>4ºPav.</v>
      </c>
      <c r="C161" s="108" t="str">
        <f>IFERROR(__xludf.DUMMYFUNCTION("""COMPUTED_VALUE"""),"Quarto 07")</f>
        <v>Quarto 07</v>
      </c>
      <c r="D161" s="108" t="str">
        <f>IFERROR(__xludf.DUMMYFUNCTION("""COMPUTED_VALUE"""),"4ºPav.")</f>
        <v>4ºPav.</v>
      </c>
      <c r="E161" s="108"/>
      <c r="F161" s="108"/>
      <c r="G161" s="108"/>
      <c r="H161" s="108" t="str">
        <f>IFERROR(__xludf.DUMMYFUNCTION("""COMPUTED_VALUE"""),"Quarto")</f>
        <v>Quarto</v>
      </c>
      <c r="I161" s="108"/>
      <c r="J161" s="108"/>
    </row>
    <row r="162">
      <c r="A162" s="108" t="str">
        <f>IFERROR(__xludf.DUMMYFUNCTION("""COMPUTED_VALUE"""),"4ºPav.-Quarto 08")</f>
        <v>4ºPav.-Quarto 08</v>
      </c>
      <c r="B162" s="108" t="str">
        <f>IFERROR(__xludf.DUMMYFUNCTION("""COMPUTED_VALUE"""),"4ºPav.")</f>
        <v>4ºPav.</v>
      </c>
      <c r="C162" s="108" t="str">
        <f>IFERROR(__xludf.DUMMYFUNCTION("""COMPUTED_VALUE"""),"Quarto 08")</f>
        <v>Quarto 08</v>
      </c>
      <c r="D162" s="108" t="str">
        <f>IFERROR(__xludf.DUMMYFUNCTION("""COMPUTED_VALUE"""),"4ºPav.")</f>
        <v>4ºPav.</v>
      </c>
      <c r="E162" s="108"/>
      <c r="F162" s="108"/>
      <c r="G162" s="108"/>
      <c r="H162" s="108" t="str">
        <f>IFERROR(__xludf.DUMMYFUNCTION("""COMPUTED_VALUE"""),"Quarto")</f>
        <v>Quarto</v>
      </c>
      <c r="I162" s="108"/>
      <c r="J162" s="108"/>
    </row>
    <row r="163">
      <c r="A163" s="108" t="str">
        <f>IFERROR(__xludf.DUMMYFUNCTION("""COMPUTED_VALUE"""),"4ºPav.-Quarto 09")</f>
        <v>4ºPav.-Quarto 09</v>
      </c>
      <c r="B163" s="108" t="str">
        <f>IFERROR(__xludf.DUMMYFUNCTION("""COMPUTED_VALUE"""),"4ºPav.")</f>
        <v>4ºPav.</v>
      </c>
      <c r="C163" s="108" t="str">
        <f>IFERROR(__xludf.DUMMYFUNCTION("""COMPUTED_VALUE"""),"Quarto 09")</f>
        <v>Quarto 09</v>
      </c>
      <c r="D163" s="108" t="str">
        <f>IFERROR(__xludf.DUMMYFUNCTION("""COMPUTED_VALUE"""),"4ºPav.")</f>
        <v>4ºPav.</v>
      </c>
      <c r="E163" s="108"/>
      <c r="F163" s="108"/>
      <c r="G163" s="108"/>
      <c r="H163" s="108" t="str">
        <f>IFERROR(__xludf.DUMMYFUNCTION("""COMPUTED_VALUE"""),"Quarto")</f>
        <v>Quarto</v>
      </c>
      <c r="I163" s="108"/>
      <c r="J163" s="108"/>
    </row>
    <row r="164">
      <c r="A164" s="108" t="str">
        <f>IFERROR(__xludf.DUMMYFUNCTION("""COMPUTED_VALUE"""),"4ºPav.-Quarto 10")</f>
        <v>4ºPav.-Quarto 10</v>
      </c>
      <c r="B164" s="108" t="str">
        <f>IFERROR(__xludf.DUMMYFUNCTION("""COMPUTED_VALUE"""),"4ºPav.")</f>
        <v>4ºPav.</v>
      </c>
      <c r="C164" s="108" t="str">
        <f>IFERROR(__xludf.DUMMYFUNCTION("""COMPUTED_VALUE"""),"Quarto 10")</f>
        <v>Quarto 10</v>
      </c>
      <c r="D164" s="108" t="str">
        <f>IFERROR(__xludf.DUMMYFUNCTION("""COMPUTED_VALUE"""),"4ºPav.")</f>
        <v>4ºPav.</v>
      </c>
      <c r="E164" s="108"/>
      <c r="F164" s="108"/>
      <c r="G164" s="108"/>
      <c r="H164" s="108" t="str">
        <f>IFERROR(__xludf.DUMMYFUNCTION("""COMPUTED_VALUE"""),"Quarto")</f>
        <v>Quarto</v>
      </c>
      <c r="I164" s="108"/>
      <c r="J164" s="108"/>
    </row>
    <row r="165">
      <c r="A165" s="108" t="str">
        <f>IFERROR(__xludf.DUMMYFUNCTION("""COMPUTED_VALUE"""),"4ºPav.-Quarto 11")</f>
        <v>4ºPav.-Quarto 11</v>
      </c>
      <c r="B165" s="108" t="str">
        <f>IFERROR(__xludf.DUMMYFUNCTION("""COMPUTED_VALUE"""),"4ºPav.")</f>
        <v>4ºPav.</v>
      </c>
      <c r="C165" s="108" t="str">
        <f>IFERROR(__xludf.DUMMYFUNCTION("""COMPUTED_VALUE"""),"Quarto 11")</f>
        <v>Quarto 11</v>
      </c>
      <c r="D165" s="108" t="str">
        <f>IFERROR(__xludf.DUMMYFUNCTION("""COMPUTED_VALUE"""),"4ºPav.")</f>
        <v>4ºPav.</v>
      </c>
      <c r="E165" s="108"/>
      <c r="F165" s="108"/>
      <c r="G165" s="108"/>
      <c r="H165" s="108" t="str">
        <f>IFERROR(__xludf.DUMMYFUNCTION("""COMPUTED_VALUE"""),"Quarto")</f>
        <v>Quarto</v>
      </c>
      <c r="I165" s="108"/>
      <c r="J165" s="108"/>
    </row>
    <row r="166">
      <c r="A166" s="108" t="str">
        <f>IFERROR(__xludf.DUMMYFUNCTION("""COMPUTED_VALUE"""),"4ºPav.-Quarto 12")</f>
        <v>4ºPav.-Quarto 12</v>
      </c>
      <c r="B166" s="108" t="str">
        <f>IFERROR(__xludf.DUMMYFUNCTION("""COMPUTED_VALUE"""),"4ºPav.")</f>
        <v>4ºPav.</v>
      </c>
      <c r="C166" s="108" t="str">
        <f>IFERROR(__xludf.DUMMYFUNCTION("""COMPUTED_VALUE"""),"Quarto 12")</f>
        <v>Quarto 12</v>
      </c>
      <c r="D166" s="108" t="str">
        <f>IFERROR(__xludf.DUMMYFUNCTION("""COMPUTED_VALUE"""),"4ºPav.")</f>
        <v>4ºPav.</v>
      </c>
      <c r="E166" s="108"/>
      <c r="F166" s="108"/>
      <c r="G166" s="108"/>
      <c r="H166" s="108" t="str">
        <f>IFERROR(__xludf.DUMMYFUNCTION("""COMPUTED_VALUE"""),"Quarto")</f>
        <v>Quarto</v>
      </c>
      <c r="I166" s="108"/>
      <c r="J166" s="108"/>
    </row>
    <row r="167">
      <c r="A167" s="108" t="str">
        <f>IFERROR(__xludf.DUMMYFUNCTION("""COMPUTED_VALUE"""),"4ºPav.-Quarto 13")</f>
        <v>4ºPav.-Quarto 13</v>
      </c>
      <c r="B167" s="108" t="str">
        <f>IFERROR(__xludf.DUMMYFUNCTION("""COMPUTED_VALUE"""),"4ºPav.")</f>
        <v>4ºPav.</v>
      </c>
      <c r="C167" s="108" t="str">
        <f>IFERROR(__xludf.DUMMYFUNCTION("""COMPUTED_VALUE"""),"Quarto 13")</f>
        <v>Quarto 13</v>
      </c>
      <c r="D167" s="108" t="str">
        <f>IFERROR(__xludf.DUMMYFUNCTION("""COMPUTED_VALUE"""),"4ºPav.")</f>
        <v>4ºPav.</v>
      </c>
      <c r="E167" s="108"/>
      <c r="F167" s="108"/>
      <c r="G167" s="108"/>
      <c r="H167" s="108" t="str">
        <f>IFERROR(__xludf.DUMMYFUNCTION("""COMPUTED_VALUE"""),"Quarto")</f>
        <v>Quarto</v>
      </c>
      <c r="I167" s="108"/>
      <c r="J167" s="108"/>
    </row>
    <row r="168">
      <c r="A168" s="108" t="str">
        <f>IFERROR(__xludf.DUMMYFUNCTION("""COMPUTED_VALUE"""),"4ºPav.-Quarto 14")</f>
        <v>4ºPav.-Quarto 14</v>
      </c>
      <c r="B168" s="108" t="str">
        <f>IFERROR(__xludf.DUMMYFUNCTION("""COMPUTED_VALUE"""),"4ºPav.")</f>
        <v>4ºPav.</v>
      </c>
      <c r="C168" s="108" t="str">
        <f>IFERROR(__xludf.DUMMYFUNCTION("""COMPUTED_VALUE"""),"Quarto 14")</f>
        <v>Quarto 14</v>
      </c>
      <c r="D168" s="108" t="str">
        <f>IFERROR(__xludf.DUMMYFUNCTION("""COMPUTED_VALUE"""),"4ºPav.")</f>
        <v>4ºPav.</v>
      </c>
      <c r="E168" s="108"/>
      <c r="F168" s="108"/>
      <c r="G168" s="108"/>
      <c r="H168" s="108" t="str">
        <f>IFERROR(__xludf.DUMMYFUNCTION("""COMPUTED_VALUE"""),"Quarto")</f>
        <v>Quarto</v>
      </c>
      <c r="I168" s="108"/>
      <c r="J168" s="108"/>
    </row>
    <row r="169">
      <c r="A169" s="108" t="str">
        <f>IFERROR(__xludf.DUMMYFUNCTION("""COMPUTED_VALUE"""),"4ºPav.-Quarto 15")</f>
        <v>4ºPav.-Quarto 15</v>
      </c>
      <c r="B169" s="108" t="str">
        <f>IFERROR(__xludf.DUMMYFUNCTION("""COMPUTED_VALUE"""),"4ºPav.")</f>
        <v>4ºPav.</v>
      </c>
      <c r="C169" s="108" t="str">
        <f>IFERROR(__xludf.DUMMYFUNCTION("""COMPUTED_VALUE"""),"Quarto 15")</f>
        <v>Quarto 15</v>
      </c>
      <c r="D169" s="108" t="str">
        <f>IFERROR(__xludf.DUMMYFUNCTION("""COMPUTED_VALUE"""),"4ºPav.")</f>
        <v>4ºPav.</v>
      </c>
      <c r="E169" s="108"/>
      <c r="F169" s="108"/>
      <c r="G169" s="108"/>
      <c r="H169" s="108" t="str">
        <f>IFERROR(__xludf.DUMMYFUNCTION("""COMPUTED_VALUE"""),"Quarto")</f>
        <v>Quarto</v>
      </c>
      <c r="I169" s="108"/>
      <c r="J169" s="108"/>
    </row>
    <row r="170">
      <c r="A170" s="108" t="str">
        <f>IFERROR(__xludf.DUMMYFUNCTION("""COMPUTED_VALUE"""),"4ºPav.-Quarto 16")</f>
        <v>4ºPav.-Quarto 16</v>
      </c>
      <c r="B170" s="108" t="str">
        <f>IFERROR(__xludf.DUMMYFUNCTION("""COMPUTED_VALUE"""),"4ºPav.")</f>
        <v>4ºPav.</v>
      </c>
      <c r="C170" s="108" t="str">
        <f>IFERROR(__xludf.DUMMYFUNCTION("""COMPUTED_VALUE"""),"Quarto 16")</f>
        <v>Quarto 16</v>
      </c>
      <c r="D170" s="108" t="str">
        <f>IFERROR(__xludf.DUMMYFUNCTION("""COMPUTED_VALUE"""),"4ºPav.")</f>
        <v>4ºPav.</v>
      </c>
      <c r="E170" s="108"/>
      <c r="F170" s="108"/>
      <c r="G170" s="108"/>
      <c r="H170" s="108" t="str">
        <f>IFERROR(__xludf.DUMMYFUNCTION("""COMPUTED_VALUE"""),"Quarto")</f>
        <v>Quarto</v>
      </c>
      <c r="I170" s="108"/>
      <c r="J170" s="108"/>
    </row>
    <row r="171">
      <c r="A171" s="108" t="str">
        <f>IFERROR(__xludf.DUMMYFUNCTION("""COMPUTED_VALUE"""),"4ºPav.-Quarto 17")</f>
        <v>4ºPav.-Quarto 17</v>
      </c>
      <c r="B171" s="108" t="str">
        <f>IFERROR(__xludf.DUMMYFUNCTION("""COMPUTED_VALUE"""),"4ºPav.")</f>
        <v>4ºPav.</v>
      </c>
      <c r="C171" s="108" t="str">
        <f>IFERROR(__xludf.DUMMYFUNCTION("""COMPUTED_VALUE"""),"Quarto 17")</f>
        <v>Quarto 17</v>
      </c>
      <c r="D171" s="108" t="str">
        <f>IFERROR(__xludf.DUMMYFUNCTION("""COMPUTED_VALUE"""),"4ºPav.")</f>
        <v>4ºPav.</v>
      </c>
      <c r="E171" s="108"/>
      <c r="F171" s="108"/>
      <c r="G171" s="108"/>
      <c r="H171" s="108" t="str">
        <f>IFERROR(__xludf.DUMMYFUNCTION("""COMPUTED_VALUE"""),"Quarto")</f>
        <v>Quarto</v>
      </c>
      <c r="I171" s="108"/>
      <c r="J171" s="108"/>
    </row>
    <row r="172">
      <c r="A172" s="108" t="str">
        <f>IFERROR(__xludf.DUMMYFUNCTION("""COMPUTED_VALUE"""),"4ºPav.-Quarto 18")</f>
        <v>4ºPav.-Quarto 18</v>
      </c>
      <c r="B172" s="108" t="str">
        <f>IFERROR(__xludf.DUMMYFUNCTION("""COMPUTED_VALUE"""),"4ºPav.")</f>
        <v>4ºPav.</v>
      </c>
      <c r="C172" s="108" t="str">
        <f>IFERROR(__xludf.DUMMYFUNCTION("""COMPUTED_VALUE"""),"Quarto 18")</f>
        <v>Quarto 18</v>
      </c>
      <c r="D172" s="108" t="str">
        <f>IFERROR(__xludf.DUMMYFUNCTION("""COMPUTED_VALUE"""),"4ºPav.")</f>
        <v>4ºPav.</v>
      </c>
      <c r="E172" s="108"/>
      <c r="F172" s="108"/>
      <c r="G172" s="108"/>
      <c r="H172" s="108" t="str">
        <f>IFERROR(__xludf.DUMMYFUNCTION("""COMPUTED_VALUE"""),"Quarto")</f>
        <v>Quarto</v>
      </c>
      <c r="I172" s="108"/>
      <c r="J172" s="108"/>
    </row>
    <row r="173">
      <c r="A173" s="108" t="str">
        <f>IFERROR(__xludf.DUMMYFUNCTION("""COMPUTED_VALUE"""),"4ºPav.-Quarto 19")</f>
        <v>4ºPav.-Quarto 19</v>
      </c>
      <c r="B173" s="108" t="str">
        <f>IFERROR(__xludf.DUMMYFUNCTION("""COMPUTED_VALUE"""),"4ºPav.")</f>
        <v>4ºPav.</v>
      </c>
      <c r="C173" s="108" t="str">
        <f>IFERROR(__xludf.DUMMYFUNCTION("""COMPUTED_VALUE"""),"Quarto 19")</f>
        <v>Quarto 19</v>
      </c>
      <c r="D173" s="108" t="str">
        <f>IFERROR(__xludf.DUMMYFUNCTION("""COMPUTED_VALUE"""),"4ºPav.")</f>
        <v>4ºPav.</v>
      </c>
      <c r="E173" s="108"/>
      <c r="F173" s="108"/>
      <c r="G173" s="108"/>
      <c r="H173" s="108" t="str">
        <f>IFERROR(__xludf.DUMMYFUNCTION("""COMPUTED_VALUE"""),"Quarto")</f>
        <v>Quarto</v>
      </c>
      <c r="I173" s="108"/>
      <c r="J173" s="108"/>
    </row>
    <row r="174">
      <c r="A174" s="108" t="str">
        <f>IFERROR(__xludf.DUMMYFUNCTION("""COMPUTED_VALUE"""),"4ºPav.-Quarto 20")</f>
        <v>4ºPav.-Quarto 20</v>
      </c>
      <c r="B174" s="108" t="str">
        <f>IFERROR(__xludf.DUMMYFUNCTION("""COMPUTED_VALUE"""),"4ºPav.")</f>
        <v>4ºPav.</v>
      </c>
      <c r="C174" s="108" t="str">
        <f>IFERROR(__xludf.DUMMYFUNCTION("""COMPUTED_VALUE"""),"Quarto 20")</f>
        <v>Quarto 20</v>
      </c>
      <c r="D174" s="108" t="str">
        <f>IFERROR(__xludf.DUMMYFUNCTION("""COMPUTED_VALUE"""),"4ºPav.")</f>
        <v>4ºPav.</v>
      </c>
      <c r="E174" s="108"/>
      <c r="F174" s="108"/>
      <c r="G174" s="108"/>
      <c r="H174" s="108" t="str">
        <f>IFERROR(__xludf.DUMMYFUNCTION("""COMPUTED_VALUE"""),"Quarto")</f>
        <v>Quarto</v>
      </c>
      <c r="I174" s="108"/>
      <c r="J174" s="108"/>
    </row>
    <row r="175">
      <c r="A175" s="108" t="str">
        <f>IFERROR(__xludf.DUMMYFUNCTION("""COMPUTED_VALUE"""),"4ºPav.-Quarto 21")</f>
        <v>4ºPav.-Quarto 21</v>
      </c>
      <c r="B175" s="108" t="str">
        <f>IFERROR(__xludf.DUMMYFUNCTION("""COMPUTED_VALUE"""),"4ºPav.")</f>
        <v>4ºPav.</v>
      </c>
      <c r="C175" s="108" t="str">
        <f>IFERROR(__xludf.DUMMYFUNCTION("""COMPUTED_VALUE"""),"Quarto 21")</f>
        <v>Quarto 21</v>
      </c>
      <c r="D175" s="108" t="str">
        <f>IFERROR(__xludf.DUMMYFUNCTION("""COMPUTED_VALUE"""),"4ºPav.")</f>
        <v>4ºPav.</v>
      </c>
      <c r="E175" s="108"/>
      <c r="F175" s="108"/>
      <c r="G175" s="108"/>
      <c r="H175" s="108" t="str">
        <f>IFERROR(__xludf.DUMMYFUNCTION("""COMPUTED_VALUE"""),"Quarto")</f>
        <v>Quarto</v>
      </c>
      <c r="I175" s="108"/>
      <c r="J175" s="108"/>
    </row>
    <row r="176">
      <c r="A176" s="108" t="str">
        <f>IFERROR(__xludf.DUMMYFUNCTION("""COMPUTED_VALUE"""),"4ºPav.-Quarto 22")</f>
        <v>4ºPav.-Quarto 22</v>
      </c>
      <c r="B176" s="108" t="str">
        <f>IFERROR(__xludf.DUMMYFUNCTION("""COMPUTED_VALUE"""),"4ºPav.")</f>
        <v>4ºPav.</v>
      </c>
      <c r="C176" s="108" t="str">
        <f>IFERROR(__xludf.DUMMYFUNCTION("""COMPUTED_VALUE"""),"Quarto 22")</f>
        <v>Quarto 22</v>
      </c>
      <c r="D176" s="108" t="str">
        <f>IFERROR(__xludf.DUMMYFUNCTION("""COMPUTED_VALUE"""),"4ºPav.")</f>
        <v>4ºPav.</v>
      </c>
      <c r="E176" s="108"/>
      <c r="F176" s="108"/>
      <c r="G176" s="108"/>
      <c r="H176" s="108" t="str">
        <f>IFERROR(__xludf.DUMMYFUNCTION("""COMPUTED_VALUE"""),"Quarto")</f>
        <v>Quarto</v>
      </c>
      <c r="I176" s="108"/>
      <c r="J176" s="108"/>
    </row>
    <row r="177">
      <c r="A177" s="108" t="str">
        <f>IFERROR(__xludf.DUMMYFUNCTION("""COMPUTED_VALUE"""),"4ºPav.-Quarto 23")</f>
        <v>4ºPav.-Quarto 23</v>
      </c>
      <c r="B177" s="108" t="str">
        <f>IFERROR(__xludf.DUMMYFUNCTION("""COMPUTED_VALUE"""),"4ºPav.")</f>
        <v>4ºPav.</v>
      </c>
      <c r="C177" s="108" t="str">
        <f>IFERROR(__xludf.DUMMYFUNCTION("""COMPUTED_VALUE"""),"Quarto 23")</f>
        <v>Quarto 23</v>
      </c>
      <c r="D177" s="108" t="str">
        <f>IFERROR(__xludf.DUMMYFUNCTION("""COMPUTED_VALUE"""),"4ºPav.")</f>
        <v>4ºPav.</v>
      </c>
      <c r="E177" s="108"/>
      <c r="F177" s="108"/>
      <c r="G177" s="108"/>
      <c r="H177" s="108" t="str">
        <f>IFERROR(__xludf.DUMMYFUNCTION("""COMPUTED_VALUE"""),"Quarto")</f>
        <v>Quarto</v>
      </c>
      <c r="I177" s="108"/>
      <c r="J177" s="108"/>
    </row>
    <row r="178">
      <c r="A178" s="108" t="str">
        <f>IFERROR(__xludf.DUMMYFUNCTION("""COMPUTED_VALUE"""),"4ºPav.-Quarto 24")</f>
        <v>4ºPav.-Quarto 24</v>
      </c>
      <c r="B178" s="108" t="str">
        <f>IFERROR(__xludf.DUMMYFUNCTION("""COMPUTED_VALUE"""),"4ºPav.")</f>
        <v>4ºPav.</v>
      </c>
      <c r="C178" s="108" t="str">
        <f>IFERROR(__xludf.DUMMYFUNCTION("""COMPUTED_VALUE"""),"Quarto 24")</f>
        <v>Quarto 24</v>
      </c>
      <c r="D178" s="108" t="str">
        <f>IFERROR(__xludf.DUMMYFUNCTION("""COMPUTED_VALUE"""),"4ºPav.")</f>
        <v>4ºPav.</v>
      </c>
      <c r="E178" s="108"/>
      <c r="F178" s="108"/>
      <c r="G178" s="108"/>
      <c r="H178" s="108" t="str">
        <f>IFERROR(__xludf.DUMMYFUNCTION("""COMPUTED_VALUE"""),"Quarto")</f>
        <v>Quarto</v>
      </c>
      <c r="I178" s="108"/>
      <c r="J178" s="108"/>
    </row>
    <row r="179">
      <c r="A179" s="108" t="str">
        <f>IFERROR(__xludf.DUMMYFUNCTION("""COMPUTED_VALUE"""),"4ºPav.-Quarto 25")</f>
        <v>4ºPav.-Quarto 25</v>
      </c>
      <c r="B179" s="108" t="str">
        <f>IFERROR(__xludf.DUMMYFUNCTION("""COMPUTED_VALUE"""),"4ºPav.")</f>
        <v>4ºPav.</v>
      </c>
      <c r="C179" s="108" t="str">
        <f>IFERROR(__xludf.DUMMYFUNCTION("""COMPUTED_VALUE"""),"Quarto 25")</f>
        <v>Quarto 25</v>
      </c>
      <c r="D179" s="108" t="str">
        <f>IFERROR(__xludf.DUMMYFUNCTION("""COMPUTED_VALUE"""),"4ºPav.")</f>
        <v>4ºPav.</v>
      </c>
      <c r="E179" s="108"/>
      <c r="F179" s="108"/>
      <c r="G179" s="108"/>
      <c r="H179" s="108" t="str">
        <f>IFERROR(__xludf.DUMMYFUNCTION("""COMPUTED_VALUE"""),"Quarto")</f>
        <v>Quarto</v>
      </c>
      <c r="I179" s="108"/>
      <c r="J179" s="108"/>
    </row>
    <row r="180">
      <c r="A180" s="108" t="str">
        <f>IFERROR(__xludf.DUMMYFUNCTION("""COMPUTED_VALUE"""),"4ºPav.-Quarto 26")</f>
        <v>4ºPav.-Quarto 26</v>
      </c>
      <c r="B180" s="108" t="str">
        <f>IFERROR(__xludf.DUMMYFUNCTION("""COMPUTED_VALUE"""),"4ºPav.")</f>
        <v>4ºPav.</v>
      </c>
      <c r="C180" s="108" t="str">
        <f>IFERROR(__xludf.DUMMYFUNCTION("""COMPUTED_VALUE"""),"Quarto 26")</f>
        <v>Quarto 26</v>
      </c>
      <c r="D180" s="108" t="str">
        <f>IFERROR(__xludf.DUMMYFUNCTION("""COMPUTED_VALUE"""),"4ºPav.")</f>
        <v>4ºPav.</v>
      </c>
      <c r="E180" s="108"/>
      <c r="F180" s="108"/>
      <c r="G180" s="108"/>
      <c r="H180" s="108" t="str">
        <f>IFERROR(__xludf.DUMMYFUNCTION("""COMPUTED_VALUE"""),"Quarto")</f>
        <v>Quarto</v>
      </c>
      <c r="I180" s="108"/>
      <c r="J180" s="108"/>
    </row>
    <row r="181">
      <c r="A181" s="109" t="str">
        <f>IFERROR(__xludf.DUMMYFUNCTION("""COMPUTED_VALUE"""),"4ºPav.-Rouparia 1")</f>
        <v>4ºPav.-Rouparia 1</v>
      </c>
      <c r="B181" s="108" t="str">
        <f>IFERROR(__xludf.DUMMYFUNCTION("""COMPUTED_VALUE"""),"4ºPav.")</f>
        <v>4ºPav.</v>
      </c>
      <c r="C181" s="108" t="str">
        <f>IFERROR(__xludf.DUMMYFUNCTION("""COMPUTED_VALUE"""),"Rouparia 1")</f>
        <v>Rouparia 1</v>
      </c>
      <c r="D181" s="108" t="str">
        <f>IFERROR(__xludf.DUMMYFUNCTION("""COMPUTED_VALUE"""),"4ºPav.")</f>
        <v>4ºPav.</v>
      </c>
      <c r="E181" s="108"/>
      <c r="F181" s="108">
        <f>IFERROR(__xludf.DUMMYFUNCTION("""COMPUTED_VALUE"""),18.0)</f>
        <v>18</v>
      </c>
      <c r="G181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bc85d873cfdc4462958199c22abd1c62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bc85d873cfdc4462958199c22abd1c62&amp;showComments=1&amp;guid=6882be48-6626-5238-d3df-94e9f0a0019d</v>
      </c>
      <c r="H181" s="108" t="str">
        <f>IFERROR(__xludf.DUMMYFUNCTION("""COMPUTED_VALUE"""),"Posto Enfermagem")</f>
        <v>Posto Enfermagem</v>
      </c>
      <c r="I181" s="109" t="str">
        <f>IFERROR(__xludf.DUMMYFUNCTION("""COMPUTED_VALUE"""),"https://photos.google.com/search/4%C2%BAPav.-Rouparia%201")</f>
        <v>https://photos.google.com/search/4%C2%BAPav.-Rouparia%201</v>
      </c>
      <c r="J181" s="108"/>
    </row>
    <row r="182">
      <c r="A182" s="109" t="str">
        <f>IFERROR(__xludf.DUMMYFUNCTION("""COMPUTED_VALUE"""),"4ºPav.-Rouparia 2")</f>
        <v>4ºPav.-Rouparia 2</v>
      </c>
      <c r="B182" s="108" t="str">
        <f>IFERROR(__xludf.DUMMYFUNCTION("""COMPUTED_VALUE"""),"4ºPav.")</f>
        <v>4ºPav.</v>
      </c>
      <c r="C182" s="108" t="str">
        <f>IFERROR(__xludf.DUMMYFUNCTION("""COMPUTED_VALUE"""),"Rouparia 2")</f>
        <v>Rouparia 2</v>
      </c>
      <c r="D182" s="108" t="str">
        <f>IFERROR(__xludf.DUMMYFUNCTION("""COMPUTED_VALUE"""),"4ºPav.")</f>
        <v>4ºPav.</v>
      </c>
      <c r="E182" s="108"/>
      <c r="F182" s="108">
        <f>IFERROR(__xludf.DUMMYFUNCTION("""COMPUTED_VALUE"""),17.0)</f>
        <v>17</v>
      </c>
      <c r="G182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7a77ebd5487c4d6aaef28a21fab56c32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7a77ebd5487c4d6aaef28a21fab56c32&amp;showComments=1&amp;guid=6882be48-6626-5238-d3df-94e9f0a0019d</v>
      </c>
      <c r="H182" s="108" t="str">
        <f>IFERROR(__xludf.DUMMYFUNCTION("""COMPUTED_VALUE"""),"Posto Enfermagem")</f>
        <v>Posto Enfermagem</v>
      </c>
      <c r="I182" s="108"/>
      <c r="J182" s="108"/>
    </row>
    <row r="183">
      <c r="A183" s="109" t="str">
        <f>IFERROR(__xludf.DUMMYFUNCTION("""COMPUTED_VALUE"""),"4ºPav.-Sala Ar Condicionado - CM4.1")</f>
        <v>4ºPav.-Sala Ar Condicionado - CM4.1</v>
      </c>
      <c r="B183" s="108" t="str">
        <f>IFERROR(__xludf.DUMMYFUNCTION("""COMPUTED_VALUE"""),"4ºPav.")</f>
        <v>4ºPav.</v>
      </c>
      <c r="C183" s="108" t="str">
        <f>IFERROR(__xludf.DUMMYFUNCTION("""COMPUTED_VALUE"""),"Sala Ar Condicionado - CM4.1")</f>
        <v>Sala Ar Condicionado - CM4.1</v>
      </c>
      <c r="D183" s="108" t="str">
        <f>IFERROR(__xludf.DUMMYFUNCTION("""COMPUTED_VALUE"""),"4ºPav.")</f>
        <v>4ºPav.</v>
      </c>
      <c r="E183" s="108"/>
      <c r="F183" s="108">
        <f>IFERROR(__xludf.DUMMYFUNCTION("""COMPUTED_VALUE"""),34.0)</f>
        <v>34</v>
      </c>
      <c r="G183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dd76477db00a41179e27c201e9e0cc01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dd76477db00a41179e27c201e9e0cc01&amp;showComments=1&amp;guid=6882be48-6626-5238-d3df-94e9f0a0019d</v>
      </c>
      <c r="H183" s="108" t="str">
        <f>IFERROR(__xludf.DUMMYFUNCTION("""COMPUTED_VALUE"""),"Sala Máquina")</f>
        <v>Sala Máquina</v>
      </c>
      <c r="I183" s="108"/>
      <c r="J183" s="108"/>
    </row>
    <row r="184">
      <c r="A184" s="109" t="str">
        <f>IFERROR(__xludf.DUMMYFUNCTION("""COMPUTED_VALUE"""),"4ºPav.-Sala Conforto Acompanhantes")</f>
        <v>4ºPav.-Sala Conforto Acompanhantes</v>
      </c>
      <c r="B184" s="108" t="str">
        <f>IFERROR(__xludf.DUMMYFUNCTION("""COMPUTED_VALUE"""),"4ºPav.")</f>
        <v>4ºPav.</v>
      </c>
      <c r="C184" s="108" t="str">
        <f>IFERROR(__xludf.DUMMYFUNCTION("""COMPUTED_VALUE"""),"Sala Conforto Acompanhantes")</f>
        <v>Sala Conforto Acompanhantes</v>
      </c>
      <c r="D184" s="108" t="str">
        <f>IFERROR(__xludf.DUMMYFUNCTION("""COMPUTED_VALUE"""),"4ºPav.")</f>
        <v>4ºPav.</v>
      </c>
      <c r="E184" s="108"/>
      <c r="F184" s="108">
        <f>IFERROR(__xludf.DUMMYFUNCTION("""COMPUTED_VALUE"""),4.0)</f>
        <v>4</v>
      </c>
      <c r="G184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8fdb86adc7df40529b3f3c9f0dc83d3c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8fdb86adc7df40529b3f3c9f0dc83d3c&amp;showComments=1&amp;guid=6882be48-6626-5238-d3df-94e9f0a0019d</v>
      </c>
      <c r="H184" s="108" t="str">
        <f>IFERROR(__xludf.DUMMYFUNCTION("""COMPUTED_VALUE"""),"Outros")</f>
        <v>Outros</v>
      </c>
      <c r="I184" s="109" t="str">
        <f>IFERROR(__xludf.DUMMYFUNCTION("""COMPUTED_VALUE"""),"https://photos.google.com/search/4%C2%BAPav.-Sala%20Conforto%20Acompanhantes")</f>
        <v>https://photos.google.com/search/4%C2%BAPav.-Sala%20Conforto%20Acompanhantes</v>
      </c>
      <c r="J184" s="108"/>
    </row>
    <row r="185">
      <c r="A185" s="109" t="str">
        <f>IFERROR(__xludf.DUMMYFUNCTION("""COMPUTED_VALUE"""),"4ºPav.-Sala de Duto - CM4.2")</f>
        <v>4ºPav.-Sala de Duto - CM4.2</v>
      </c>
      <c r="B185" s="108" t="str">
        <f>IFERROR(__xludf.DUMMYFUNCTION("""COMPUTED_VALUE"""),"4ºPav.")</f>
        <v>4ºPav.</v>
      </c>
      <c r="C185" s="108" t="str">
        <f>IFERROR(__xludf.DUMMYFUNCTION("""COMPUTED_VALUE"""),"Sala de Duto - CM4.2")</f>
        <v>Sala de Duto - CM4.2</v>
      </c>
      <c r="D185" s="108" t="str">
        <f>IFERROR(__xludf.DUMMYFUNCTION("""COMPUTED_VALUE"""),"4ºPav.")</f>
        <v>4ºPav.</v>
      </c>
      <c r="E185" s="108"/>
      <c r="F185" s="108">
        <f>IFERROR(__xludf.DUMMYFUNCTION("""COMPUTED_VALUE"""),33.0)</f>
        <v>33</v>
      </c>
      <c r="G185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c6331289651e402ba163db56967fec5c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c6331289651e402ba163db56967fec5c&amp;showComments=1&amp;guid=6882be48-6626-5238-d3df-94e9f0a0019d</v>
      </c>
      <c r="H185" s="108" t="str">
        <f>IFERROR(__xludf.DUMMYFUNCTION("""COMPUTED_VALUE"""),"Sala Máquina")</f>
        <v>Sala Máquina</v>
      </c>
      <c r="I185" s="108"/>
      <c r="J185" s="108"/>
    </row>
    <row r="186">
      <c r="A186" s="109" t="str">
        <f>IFERROR(__xludf.DUMMYFUNCTION("""COMPUTED_VALUE"""),"4ºPav.-Sala de Entrevista")</f>
        <v>4ºPav.-Sala de Entrevista</v>
      </c>
      <c r="B186" s="108" t="str">
        <f>IFERROR(__xludf.DUMMYFUNCTION("""COMPUTED_VALUE"""),"4ºPav.")</f>
        <v>4ºPav.</v>
      </c>
      <c r="C186" s="108" t="str">
        <f>IFERROR(__xludf.DUMMYFUNCTION("""COMPUTED_VALUE"""),"Sala de Entrevista")</f>
        <v>Sala de Entrevista</v>
      </c>
      <c r="D186" s="108" t="str">
        <f>IFERROR(__xludf.DUMMYFUNCTION("""COMPUTED_VALUE"""),"4ºPav.")</f>
        <v>4ºPav.</v>
      </c>
      <c r="E186" s="108"/>
      <c r="F186" s="108">
        <f>IFERROR(__xludf.DUMMYFUNCTION("""COMPUTED_VALUE"""),5.0)</f>
        <v>5</v>
      </c>
      <c r="G186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d489e7256efb47629b450b4ff4d556b2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d489e7256efb47629b450b4ff4d556b2&amp;showComments=1&amp;guid=6882be48-6626-5238-d3df-94e9f0a0019d</v>
      </c>
      <c r="H186" s="108" t="str">
        <f>IFERROR(__xludf.DUMMYFUNCTION("""COMPUTED_VALUE"""),"Outros")</f>
        <v>Outros</v>
      </c>
      <c r="I186" s="108"/>
      <c r="J186" s="108"/>
    </row>
    <row r="187">
      <c r="A187" s="109" t="str">
        <f>IFERROR(__xludf.DUMMYFUNCTION("""COMPUTED_VALUE"""),"4ºPav.-Sala de Exames e Curativos")</f>
        <v>4ºPav.-Sala de Exames e Curativos</v>
      </c>
      <c r="B187" s="108" t="str">
        <f>IFERROR(__xludf.DUMMYFUNCTION("""COMPUTED_VALUE"""),"4ºPav.")</f>
        <v>4ºPav.</v>
      </c>
      <c r="C187" s="108" t="str">
        <f>IFERROR(__xludf.DUMMYFUNCTION("""COMPUTED_VALUE"""),"Sala de Exames e Curativos")</f>
        <v>Sala de Exames e Curativos</v>
      </c>
      <c r="D187" s="108" t="str">
        <f>IFERROR(__xludf.DUMMYFUNCTION("""COMPUTED_VALUE"""),"4ºPav.")</f>
        <v>4ºPav.</v>
      </c>
      <c r="E187" s="108"/>
      <c r="F187" s="108"/>
      <c r="G187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e550f2ecf4ed496895f3f5b33f0f67a3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e550f2ecf4ed496895f3f5b33f0f67a3&amp;showComments=1&amp;guid=6882be48-6626-5238-d3df-94e9f0a0019d</v>
      </c>
      <c r="H187" s="108" t="str">
        <f>IFERROR(__xludf.DUMMYFUNCTION("""COMPUTED_VALUE"""),"Outros")</f>
        <v>Outros</v>
      </c>
      <c r="I187" s="109" t="str">
        <f>IFERROR(__xludf.DUMMYFUNCTION("""COMPUTED_VALUE"""),"https://photos.google.com/search/4%C2%BAPav.-Sala%20de%20Exames%20e%20Curativos")</f>
        <v>https://photos.google.com/search/4%C2%BAPav.-Sala%20de%20Exames%20e%20Curativos</v>
      </c>
      <c r="J187" s="108"/>
    </row>
    <row r="188">
      <c r="A188" s="109" t="str">
        <f>IFERROR(__xludf.DUMMYFUNCTION("""COMPUTED_VALUE"""),"4ºPav.-Sala de Roud")</f>
        <v>4ºPav.-Sala de Roud</v>
      </c>
      <c r="B188" s="108" t="str">
        <f>IFERROR(__xludf.DUMMYFUNCTION("""COMPUTED_VALUE"""),"4ºPav.")</f>
        <v>4ºPav.</v>
      </c>
      <c r="C188" s="108" t="str">
        <f>IFERROR(__xludf.DUMMYFUNCTION("""COMPUTED_VALUE"""),"Sala de Roud")</f>
        <v>Sala de Roud</v>
      </c>
      <c r="D188" s="108" t="str">
        <f>IFERROR(__xludf.DUMMYFUNCTION("""COMPUTED_VALUE"""),"4ºPav.")</f>
        <v>4ºPav.</v>
      </c>
      <c r="E188" s="108"/>
      <c r="F188" s="108">
        <f>IFERROR(__xludf.DUMMYFUNCTION("""COMPUTED_VALUE"""),13.0)</f>
        <v>13</v>
      </c>
      <c r="G188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5fb4c275638145c8b7ecf5751d064bf0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5fb4c275638145c8b7ecf5751d064bf0&amp;showComments=1&amp;guid=6882be48-6626-5238-d3df-94e9f0a0019d</v>
      </c>
      <c r="H188" s="108" t="str">
        <f>IFERROR(__xludf.DUMMYFUNCTION("""COMPUTED_VALUE"""),"Outros")</f>
        <v>Outros</v>
      </c>
      <c r="I188" s="109" t="str">
        <f>IFERROR(__xludf.DUMMYFUNCTION("""COMPUTED_VALUE"""),"https://photos.google.com/search/4%C2%BAPav.-Sala%20de%20Roud")</f>
        <v>https://photos.google.com/search/4%C2%BAPav.-Sala%20de%20Roud</v>
      </c>
      <c r="J188" s="108"/>
    </row>
    <row r="189">
      <c r="A189" s="109" t="str">
        <f>IFERROR(__xludf.DUMMYFUNCTION("""COMPUTED_VALUE"""),"4ºPav.-Sala de Serviço 1")</f>
        <v>4ºPav.-Sala de Serviço 1</v>
      </c>
      <c r="B189" s="108" t="str">
        <f>IFERROR(__xludf.DUMMYFUNCTION("""COMPUTED_VALUE"""),"4ºPav.")</f>
        <v>4ºPav.</v>
      </c>
      <c r="C189" s="108" t="str">
        <f>IFERROR(__xludf.DUMMYFUNCTION("""COMPUTED_VALUE"""),"Sala de Serviço 1")</f>
        <v>Sala de Serviço 1</v>
      </c>
      <c r="D189" s="108" t="str">
        <f>IFERROR(__xludf.DUMMYFUNCTION("""COMPUTED_VALUE"""),"4ºPav.")</f>
        <v>4ºPav.</v>
      </c>
      <c r="E189" s="108"/>
      <c r="F189" s="108">
        <f>IFERROR(__xludf.DUMMYFUNCTION("""COMPUTED_VALUE"""),15.0)</f>
        <v>15</v>
      </c>
      <c r="G189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66c4a3b864b84fef82bf8ac2fe9d1e1f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66c4a3b864b84fef82bf8ac2fe9d1e1f&amp;showComments=1&amp;guid=6882be48-6626-5238-d3df-94e9f0a0019d</v>
      </c>
      <c r="H189" s="108" t="str">
        <f>IFERROR(__xludf.DUMMYFUNCTION("""COMPUTED_VALUE"""),"Posto Enfermagem")</f>
        <v>Posto Enfermagem</v>
      </c>
      <c r="I189" s="109" t="str">
        <f>IFERROR(__xludf.DUMMYFUNCTION("""COMPUTED_VALUE"""),"https://photos.google.com/search/4%C2%BAPav.-Sala%20de%20Servi%C3%A7o%201")</f>
        <v>https://photos.google.com/search/4%C2%BAPav.-Sala%20de%20Servi%C3%A7o%201</v>
      </c>
      <c r="J189" s="108"/>
    </row>
    <row r="190">
      <c r="A190" s="109" t="str">
        <f>IFERROR(__xludf.DUMMYFUNCTION("""COMPUTED_VALUE"""),"4ºPav.-Sala de Serviço 2")</f>
        <v>4ºPav.-Sala de Serviço 2</v>
      </c>
      <c r="B190" s="108" t="str">
        <f>IFERROR(__xludf.DUMMYFUNCTION("""COMPUTED_VALUE"""),"4ºPav.")</f>
        <v>4ºPav.</v>
      </c>
      <c r="C190" s="108" t="str">
        <f>IFERROR(__xludf.DUMMYFUNCTION("""COMPUTED_VALUE"""),"Sala de Serviço 2")</f>
        <v>Sala de Serviço 2</v>
      </c>
      <c r="D190" s="108" t="str">
        <f>IFERROR(__xludf.DUMMYFUNCTION("""COMPUTED_VALUE"""),"4ºPav.")</f>
        <v>4ºPav.</v>
      </c>
      <c r="E190" s="108"/>
      <c r="F190" s="108">
        <f>IFERROR(__xludf.DUMMYFUNCTION("""COMPUTED_VALUE"""),16.0)</f>
        <v>16</v>
      </c>
      <c r="G190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2b16a249f2db45f1a384b98ba2d185d5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2b16a249f2db45f1a384b98ba2d185d5&amp;showComments=1&amp;guid=6882be48-6626-5238-d3df-94e9f0a0019d</v>
      </c>
      <c r="H190" s="108" t="str">
        <f>IFERROR(__xludf.DUMMYFUNCTION("""COMPUTED_VALUE"""),"Posto Enfermagem")</f>
        <v>Posto Enfermagem</v>
      </c>
      <c r="I190" s="108"/>
      <c r="J190" s="108"/>
    </row>
    <row r="191">
      <c r="A191" s="109" t="str">
        <f>IFERROR(__xludf.DUMMYFUNCTION("""COMPUTED_VALUE"""),"4ºPav.-Sala de Utilidades 1")</f>
        <v>4ºPav.-Sala de Utilidades 1</v>
      </c>
      <c r="B191" s="108" t="str">
        <f>IFERROR(__xludf.DUMMYFUNCTION("""COMPUTED_VALUE"""),"4ºPav.")</f>
        <v>4ºPav.</v>
      </c>
      <c r="C191" s="108" t="str">
        <f>IFERROR(__xludf.DUMMYFUNCTION("""COMPUTED_VALUE"""),"Sala de Utilidades 1")</f>
        <v>Sala de Utilidades 1</v>
      </c>
      <c r="D191" s="108" t="str">
        <f>IFERROR(__xludf.DUMMYFUNCTION("""COMPUTED_VALUE"""),"4ºPav.")</f>
        <v>4ºPav.</v>
      </c>
      <c r="E191" s="108"/>
      <c r="F191" s="108">
        <f>IFERROR(__xludf.DUMMYFUNCTION("""COMPUTED_VALUE"""),21.0)</f>
        <v>21</v>
      </c>
      <c r="G191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0d6675560ac6446dac7be86095d104f2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0d6675560ac6446dac7be86095d104f2&amp;showComments=1&amp;guid=6882be48-6626-5238-d3df-94e9f0a0019d</v>
      </c>
      <c r="H191" s="108" t="str">
        <f>IFERROR(__xludf.DUMMYFUNCTION("""COMPUTED_VALUE"""),"Outros")</f>
        <v>Outros</v>
      </c>
      <c r="I191" s="108"/>
      <c r="J191" s="108"/>
    </row>
    <row r="192">
      <c r="A192" s="109" t="str">
        <f>IFERROR(__xludf.DUMMYFUNCTION("""COMPUTED_VALUE"""),"4ºPav.-Sala de Utilidades 2")</f>
        <v>4ºPav.-Sala de Utilidades 2</v>
      </c>
      <c r="B192" s="108" t="str">
        <f>IFERROR(__xludf.DUMMYFUNCTION("""COMPUTED_VALUE"""),"4ºPav.")</f>
        <v>4ºPav.</v>
      </c>
      <c r="C192" s="108" t="str">
        <f>IFERROR(__xludf.DUMMYFUNCTION("""COMPUTED_VALUE"""),"Sala de Utilidades 2")</f>
        <v>Sala de Utilidades 2</v>
      </c>
      <c r="D192" s="108" t="str">
        <f>IFERROR(__xludf.DUMMYFUNCTION("""COMPUTED_VALUE"""),"4ºPav.")</f>
        <v>4ºPav.</v>
      </c>
      <c r="E192" s="108"/>
      <c r="F192" s="108">
        <f>IFERROR(__xludf.DUMMYFUNCTION("""COMPUTED_VALUE"""),23.0)</f>
        <v>23</v>
      </c>
      <c r="G192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651e86be242a4a0296da76c803953e79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651e86be242a4a0296da76c803953e79&amp;showComments=1&amp;guid=6882be48-6626-5238-d3df-94e9f0a0019d</v>
      </c>
      <c r="H192" s="108" t="str">
        <f>IFERROR(__xludf.DUMMYFUNCTION("""COMPUTED_VALUE"""),"Outros")</f>
        <v>Outros</v>
      </c>
      <c r="I192" s="108"/>
      <c r="J192" s="108"/>
    </row>
    <row r="193">
      <c r="A193" s="109" t="str">
        <f>IFERROR(__xludf.DUMMYFUNCTION("""COMPUTED_VALUE"""),"4ºPav.-Sala Elétrica QDG4")</f>
        <v>4ºPav.-Sala Elétrica QDG4</v>
      </c>
      <c r="B193" s="108" t="str">
        <f>IFERROR(__xludf.DUMMYFUNCTION("""COMPUTED_VALUE"""),"4ºPav.")</f>
        <v>4ºPav.</v>
      </c>
      <c r="C193" s="108" t="str">
        <f>IFERROR(__xludf.DUMMYFUNCTION("""COMPUTED_VALUE"""),"Sala Elétrica QDG4")</f>
        <v>Sala Elétrica QDG4</v>
      </c>
      <c r="D193" s="108" t="str">
        <f>IFERROR(__xludf.DUMMYFUNCTION("""COMPUTED_VALUE"""),"4ºPav.")</f>
        <v>4ºPav.</v>
      </c>
      <c r="E193" s="108" t="str">
        <f>IFERROR(__xludf.DUMMYFUNCTION("""COMPUTED_VALUE"""),"B")</f>
        <v>B</v>
      </c>
      <c r="F193" s="108">
        <f>IFERROR(__xludf.DUMMYFUNCTION("""COMPUTED_VALUE"""),35.0)</f>
        <v>35</v>
      </c>
      <c r="G193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4379f86d48c048559b43cfbfd61a84a2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4379f86d48c048559b43cfbfd61a84a2&amp;showComments=1&amp;guid=6882be48-6626-5238-d3df-94e9f0a0019d</v>
      </c>
      <c r="H193" s="108" t="str">
        <f>IFERROR(__xludf.DUMMYFUNCTION("""COMPUTED_VALUE"""),"Sala Elétrica")</f>
        <v>Sala Elétrica</v>
      </c>
      <c r="I193" s="109" t="str">
        <f>IFERROR(__xludf.DUMMYFUNCTION("""COMPUTED_VALUE"""),"https://photos.google.com/search/4%C2%BAPav.-Sala%20El%C3%A9trica%20QDG4")</f>
        <v>https://photos.google.com/search/4%C2%BAPav.-Sala%20El%C3%A9trica%20QDG4</v>
      </c>
      <c r="J193" s="108"/>
    </row>
    <row r="194">
      <c r="A194" s="109" t="str">
        <f>IFERROR(__xludf.DUMMYFUNCTION("""COMPUTED_VALUE"""),"4ºPav.-Sala Rack GG - 09 - TI")</f>
        <v>4ºPav.-Sala Rack GG - 09 - TI</v>
      </c>
      <c r="B194" s="108" t="str">
        <f>IFERROR(__xludf.DUMMYFUNCTION("""COMPUTED_VALUE"""),"4ºPav.")</f>
        <v>4ºPav.</v>
      </c>
      <c r="C194" s="108" t="str">
        <f>IFERROR(__xludf.DUMMYFUNCTION("""COMPUTED_VALUE"""),"Sala Rack GG - 09 - TI")</f>
        <v>Sala Rack GG - 09 - TI</v>
      </c>
      <c r="D194" s="108" t="str">
        <f>IFERROR(__xludf.DUMMYFUNCTION("""COMPUTED_VALUE"""),"4ºPav.")</f>
        <v>4ºPav.</v>
      </c>
      <c r="E194" s="108"/>
      <c r="F194" s="108">
        <f>IFERROR(__xludf.DUMMYFUNCTION("""COMPUTED_VALUE"""),31.0)</f>
        <v>31</v>
      </c>
      <c r="G194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5ed2ed20ae304d2c8204d77a79aa1b96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5ed2ed20ae304d2c8204d77a79aa1b96&amp;showComments=1&amp;guid=6882be48-6626-5238-d3df-94e9f0a0019d</v>
      </c>
      <c r="H194" s="108" t="str">
        <f>IFERROR(__xludf.DUMMYFUNCTION("""COMPUTED_VALUE"""),"Sala Elétrica")</f>
        <v>Sala Elétrica</v>
      </c>
      <c r="I194" s="109" t="str">
        <f>IFERROR(__xludf.DUMMYFUNCTION("""COMPUTED_VALUE"""),"https://photos.google.com/search/4%C2%BAPav.-Sala%20Rack%20GG%20-%20TI")</f>
        <v>https://photos.google.com/search/4%C2%BAPav.-Sala%20Rack%20GG%20-%20TI</v>
      </c>
      <c r="J194" s="108"/>
    </row>
    <row r="195">
      <c r="A195" s="109" t="str">
        <f>IFERROR(__xludf.DUMMYFUNCTION("""COMPUTED_VALUE"""),"4ºPav.-Sala Rack HH - 10 - TI")</f>
        <v>4ºPav.-Sala Rack HH - 10 - TI</v>
      </c>
      <c r="B195" s="108" t="str">
        <f>IFERROR(__xludf.DUMMYFUNCTION("""COMPUTED_VALUE"""),"4ºPav.")</f>
        <v>4ºPav.</v>
      </c>
      <c r="C195" s="108" t="str">
        <f>IFERROR(__xludf.DUMMYFUNCTION("""COMPUTED_VALUE"""),"Sala Rack HH - 10 - TI")</f>
        <v>Sala Rack HH - 10 - TI</v>
      </c>
      <c r="D195" s="108" t="str">
        <f>IFERROR(__xludf.DUMMYFUNCTION("""COMPUTED_VALUE"""),"4ºPav.")</f>
        <v>4ºPav.</v>
      </c>
      <c r="E195" s="108"/>
      <c r="F195" s="108">
        <f>IFERROR(__xludf.DUMMYFUNCTION("""COMPUTED_VALUE"""),32.0)</f>
        <v>32</v>
      </c>
      <c r="G195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cfa3117794a04edbad236bef72ee8cab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cfa3117794a04edbad236bef72ee8cab&amp;showComments=1&amp;guid=6882be48-6626-5238-d3df-94e9f0a0019d</v>
      </c>
      <c r="H195" s="108" t="str">
        <f>IFERROR(__xludf.DUMMYFUNCTION("""COMPUTED_VALUE"""),"Sala Elétrica")</f>
        <v>Sala Elétrica</v>
      </c>
      <c r="I195" s="109" t="str">
        <f>IFERROR(__xludf.DUMMYFUNCTION("""COMPUTED_VALUE"""),"https://photos.google.com/search/4%C2%BAPav.-Sala%20Rack%20HH%20-%20TI")</f>
        <v>https://photos.google.com/search/4%C2%BAPav.-Sala%20Rack%20HH%20-%20TI</v>
      </c>
      <c r="J195" s="108"/>
    </row>
    <row r="196">
      <c r="A196" s="109" t="str">
        <f>IFERROR(__xludf.DUMMYFUNCTION("""COMPUTED_VALUE"""),"4ºPav.-Sanitário Público PCD Feminino - Banho")</f>
        <v>4ºPav.-Sanitário Público PCD Feminino - Banho</v>
      </c>
      <c r="B196" s="108" t="str">
        <f>IFERROR(__xludf.DUMMYFUNCTION("""COMPUTED_VALUE"""),"4ºPav.")</f>
        <v>4ºPav.</v>
      </c>
      <c r="C196" s="108" t="str">
        <f>IFERROR(__xludf.DUMMYFUNCTION("""COMPUTED_VALUE"""),"Sanitário Público PCD Feminino - Banho")</f>
        <v>Sanitário Público PCD Feminino - Banho</v>
      </c>
      <c r="D196" s="108" t="str">
        <f>IFERROR(__xludf.DUMMYFUNCTION("""COMPUTED_VALUE"""),"4ºPav.")</f>
        <v>4ºPav.</v>
      </c>
      <c r="E196" s="108"/>
      <c r="F196" s="108">
        <f>IFERROR(__xludf.DUMMYFUNCTION("""COMPUTED_VALUE"""),2.0)</f>
        <v>2</v>
      </c>
      <c r="G196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58bc8a172b6b4bae9fa095c1770ba4ed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58bc8a172b6b4bae9fa095c1770ba4ed&amp;showComments=1&amp;guid=6882be48-6626-5238-d3df-94e9f0a0019d</v>
      </c>
      <c r="H196" s="108" t="str">
        <f>IFERROR(__xludf.DUMMYFUNCTION("""COMPUTED_VALUE"""),"Sanitário")</f>
        <v>Sanitário</v>
      </c>
      <c r="I196" s="109" t="str">
        <f>IFERROR(__xludf.DUMMYFUNCTION("""COMPUTED_VALUE"""),"https://photos.google.com/search/4%C2%BAPav.-Sanit%C3%A1rio%20P%C3%BAblico%20PCD%20Feminino%20-%20Banho")</f>
        <v>https://photos.google.com/search/4%C2%BAPav.-Sanit%C3%A1rio%20P%C3%BAblico%20PCD%20Feminino%20-%20Banho</v>
      </c>
      <c r="J196" s="108"/>
    </row>
    <row r="197">
      <c r="A197" s="109" t="str">
        <f>IFERROR(__xludf.DUMMYFUNCTION("""COMPUTED_VALUE"""),"4ºPav.-Sanitário Público PCD Masculino - Banho")</f>
        <v>4ºPav.-Sanitário Público PCD Masculino - Banho</v>
      </c>
      <c r="B197" s="108" t="str">
        <f>IFERROR(__xludf.DUMMYFUNCTION("""COMPUTED_VALUE"""),"4ºPav.")</f>
        <v>4ºPav.</v>
      </c>
      <c r="C197" s="108" t="str">
        <f>IFERROR(__xludf.DUMMYFUNCTION("""COMPUTED_VALUE"""),"Sanitário Público PCD Masculino - Banho")</f>
        <v>Sanitário Público PCD Masculino - Banho</v>
      </c>
      <c r="D197" s="108" t="str">
        <f>IFERROR(__xludf.DUMMYFUNCTION("""COMPUTED_VALUE"""),"4ºPav.")</f>
        <v>4ºPav.</v>
      </c>
      <c r="E197" s="108"/>
      <c r="F197" s="108">
        <f>IFERROR(__xludf.DUMMYFUNCTION("""COMPUTED_VALUE"""),3.0)</f>
        <v>3</v>
      </c>
      <c r="G197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5f90248859024b81b0d36b3cb84a2c0a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5f90248859024b81b0d36b3cb84a2c0a&amp;showComments=1&amp;guid=6882be48-6626-5238-d3df-94e9f0a0019d</v>
      </c>
      <c r="H197" s="108" t="str">
        <f>IFERROR(__xludf.DUMMYFUNCTION("""COMPUTED_VALUE"""),"Sanitário")</f>
        <v>Sanitário</v>
      </c>
      <c r="I197" s="109" t="str">
        <f>IFERROR(__xludf.DUMMYFUNCTION("""COMPUTED_VALUE"""),"https://photos.google.com/search/4%C2%BAPav.-Sanit%C3%A1rio%20P%C3%BAblico%20PCD%20Masculino%20-%20Banho")</f>
        <v>https://photos.google.com/search/4%C2%BAPav.-Sanit%C3%A1rio%20P%C3%BAblico%20PCD%20Masculino%20-%20Banho</v>
      </c>
      <c r="J197" s="108"/>
    </row>
    <row r="198">
      <c r="A198" s="109" t="str">
        <f>IFERROR(__xludf.DUMMYFUNCTION("""COMPUTED_VALUE"""),"4ºPav.-Vestiário / Sanitário Func. Feminino")</f>
        <v>4ºPav.-Vestiário / Sanitário Func. Feminino</v>
      </c>
      <c r="B198" s="108" t="str">
        <f>IFERROR(__xludf.DUMMYFUNCTION("""COMPUTED_VALUE"""),"4ºPav.")</f>
        <v>4ºPav.</v>
      </c>
      <c r="C198" s="108" t="str">
        <f>IFERROR(__xludf.DUMMYFUNCTION("""COMPUTED_VALUE"""),"Vestiário / Sanitário Func. Feminino")</f>
        <v>Vestiário / Sanitário Func. Feminino</v>
      </c>
      <c r="D198" s="108" t="str">
        <f>IFERROR(__xludf.DUMMYFUNCTION("""COMPUTED_VALUE"""),"4ºPav.")</f>
        <v>4ºPav.</v>
      </c>
      <c r="E198" s="108"/>
      <c r="F198" s="108">
        <f>IFERROR(__xludf.DUMMYFUNCTION("""COMPUTED_VALUE"""),29.0)</f>
        <v>29</v>
      </c>
      <c r="G198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44a507528fa64c7dbe9fc72d6ffbadfb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44a507528fa64c7dbe9fc72d6ffbadfb&amp;showComments=1&amp;guid=6882be48-6626-5238-d3df-94e9f0a0019d</v>
      </c>
      <c r="H198" s="108" t="str">
        <f>IFERROR(__xludf.DUMMYFUNCTION("""COMPUTED_VALUE"""),"Vestiário")</f>
        <v>Vestiário</v>
      </c>
      <c r="I198" s="108"/>
      <c r="J198" s="108"/>
    </row>
    <row r="199">
      <c r="A199" s="109" t="str">
        <f>IFERROR(__xludf.DUMMYFUNCTION("""COMPUTED_VALUE"""),"4ºPav.-Vestiário / Sanitário Func. Masculino")</f>
        <v>4ºPav.-Vestiário / Sanitário Func. Masculino</v>
      </c>
      <c r="B199" s="108" t="str">
        <f>IFERROR(__xludf.DUMMYFUNCTION("""COMPUTED_VALUE"""),"4ºPav.")</f>
        <v>4ºPav.</v>
      </c>
      <c r="C199" s="108" t="str">
        <f>IFERROR(__xludf.DUMMYFUNCTION("""COMPUTED_VALUE"""),"Vestiário / Sanitário Func. Masculino")</f>
        <v>Vestiário / Sanitário Func. Masculino</v>
      </c>
      <c r="D199" s="108" t="str">
        <f>IFERROR(__xludf.DUMMYFUNCTION("""COMPUTED_VALUE"""),"4ºPav.")</f>
        <v>4ºPav.</v>
      </c>
      <c r="E199" s="108"/>
      <c r="F199" s="108">
        <f>IFERROR(__xludf.DUMMYFUNCTION("""COMPUTED_VALUE"""),30.0)</f>
        <v>30</v>
      </c>
      <c r="G199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03696e59656b41b394631d4762685005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03696e59656b41b394631d4762685005&amp;showComments=1&amp;guid=6882be48-6626-5238-d3df-94e9f0a0019d</v>
      </c>
      <c r="H199" s="108" t="str">
        <f>IFERROR(__xludf.DUMMYFUNCTION("""COMPUTED_VALUE"""),"Vestiário")</f>
        <v>Vestiário</v>
      </c>
      <c r="I199" s="108"/>
      <c r="J199" s="108"/>
    </row>
    <row r="200">
      <c r="A200" s="109" t="str">
        <f>IFERROR(__xludf.DUMMYFUNCTION("""COMPUTED_VALUE"""),"5ºPav.")</f>
        <v>5ºPav.</v>
      </c>
      <c r="B200" s="108" t="str">
        <f>IFERROR(__xludf.DUMMYFUNCTION("""COMPUTED_VALUE"""),"5ºPav.")</f>
        <v>5ºPav.</v>
      </c>
      <c r="C200" s="108" t="str">
        <f>IFERROR(__xludf.DUMMYFUNCTION("""COMPUTED_VALUE"""),"5ºPav.")</f>
        <v>5ºPav.</v>
      </c>
      <c r="D200" s="108"/>
      <c r="E200" s="108"/>
      <c r="F200" s="108"/>
      <c r="G200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d36421df8f54416dad89d01b5490c19d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d36421df8f54416dad89d01b5490c19d&amp;showComments=1&amp;guid=6882be48-6626-5238-d3df-94e9f0a0019d</v>
      </c>
      <c r="H200" s="108" t="str">
        <f>IFERROR(__xludf.DUMMYFUNCTION("""COMPUTED_VALUE"""),"Geral")</f>
        <v>Geral</v>
      </c>
      <c r="I200" s="109" t="str">
        <f>IFERROR(__xludf.DUMMYFUNCTION("""COMPUTED_VALUE"""),"https://sites.google.com/view/eltrica-equipesial/levantamento-fotogr%C3%A1fico/5%C2%BA-pav-360")</f>
        <v>https://sites.google.com/view/eltrica-equipesial/levantamento-fotogr%C3%A1fico/5%C2%BA-pav-360</v>
      </c>
      <c r="J200" s="108"/>
    </row>
    <row r="201">
      <c r="A201" s="109" t="str">
        <f>IFERROR(__xludf.DUMMYFUNCTION("""COMPUTED_VALUE"""),"5ºPav.-Antecamara Acompanhantes")</f>
        <v>5ºPav.-Antecamara Acompanhantes</v>
      </c>
      <c r="B201" s="108" t="str">
        <f>IFERROR(__xludf.DUMMYFUNCTION("""COMPUTED_VALUE"""),"5ºPav.")</f>
        <v>5ºPav.</v>
      </c>
      <c r="C201" s="108" t="str">
        <f>IFERROR(__xludf.DUMMYFUNCTION("""COMPUTED_VALUE"""),"Antecamara Acompanhantes")</f>
        <v>Antecamara Acompanhantes</v>
      </c>
      <c r="D201" s="108" t="str">
        <f>IFERROR(__xludf.DUMMYFUNCTION("""COMPUTED_VALUE"""),"5ºPav.")</f>
        <v>5ºPav.</v>
      </c>
      <c r="E201" s="108" t="str">
        <f>IFERROR(__xludf.DUMMYFUNCTION("""COMPUTED_VALUE"""),"A")</f>
        <v>A</v>
      </c>
      <c r="F201" s="108"/>
      <c r="G201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c6ad8d4bca6e4b6b84d7c994d2870d56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c6ad8d4bca6e4b6b84d7c994d2870d56&amp;showComments=1&amp;guid=6882be48-6626-5238-d3df-94e9f0a0019d</v>
      </c>
      <c r="H201" s="108" t="str">
        <f>IFERROR(__xludf.DUMMYFUNCTION("""COMPUTED_VALUE"""),"Outros")</f>
        <v>Outros</v>
      </c>
      <c r="I201" s="108"/>
      <c r="J201" s="108"/>
    </row>
    <row r="202">
      <c r="A202" s="109" t="str">
        <f>IFERROR(__xludf.DUMMYFUNCTION("""COMPUTED_VALUE"""),"5ºPav.-Antecâmara Setor A")</f>
        <v>5ºPav.-Antecâmara Setor A</v>
      </c>
      <c r="B202" s="108" t="str">
        <f>IFERROR(__xludf.DUMMYFUNCTION("""COMPUTED_VALUE"""),"5ºPav.")</f>
        <v>5ºPav.</v>
      </c>
      <c r="C202" s="108" t="str">
        <f>IFERROR(__xludf.DUMMYFUNCTION("""COMPUTED_VALUE"""),"Antecâmara Setor A")</f>
        <v>Antecâmara Setor A</v>
      </c>
      <c r="D202" s="108" t="str">
        <f>IFERROR(__xludf.DUMMYFUNCTION("""COMPUTED_VALUE"""),"5ºPav.")</f>
        <v>5ºPav.</v>
      </c>
      <c r="E202" s="108" t="str">
        <f>IFERROR(__xludf.DUMMYFUNCTION("""COMPUTED_VALUE"""),"A")</f>
        <v>A</v>
      </c>
      <c r="F202" s="108">
        <f>IFERROR(__xludf.DUMMYFUNCTION("""COMPUTED_VALUE"""),58.0)</f>
        <v>58</v>
      </c>
      <c r="G202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859b6ca5039b4a3fb29ac84c53d61f6d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859b6ca5039b4a3fb29ac84c53d61f6d&amp;showComments=1&amp;guid=6882be48-6626-5238-d3df-94e9f0a0019d</v>
      </c>
      <c r="H202" s="108" t="str">
        <f>IFERROR(__xludf.DUMMYFUNCTION("""COMPUTED_VALUE"""),"Circulação / Corredores")</f>
        <v>Circulação / Corredores</v>
      </c>
      <c r="I202" s="109" t="str">
        <f>IFERROR(__xludf.DUMMYFUNCTION("""COMPUTED_VALUE"""),"https://photos.google.com/search/5%C2%BAPav.-Antec%C3%A2mara%20Setor%20A")</f>
        <v>https://photos.google.com/search/5%C2%BAPav.-Antec%C3%A2mara%20Setor%20A</v>
      </c>
      <c r="J202" s="108"/>
    </row>
    <row r="203">
      <c r="A203" s="109" t="str">
        <f>IFERROR(__xludf.DUMMYFUNCTION("""COMPUTED_VALUE"""),"5ºPav.-Antecâmara Setor B")</f>
        <v>5ºPav.-Antecâmara Setor B</v>
      </c>
      <c r="B203" s="108" t="str">
        <f>IFERROR(__xludf.DUMMYFUNCTION("""COMPUTED_VALUE"""),"5ºPav.")</f>
        <v>5ºPav.</v>
      </c>
      <c r="C203" s="108" t="str">
        <f>IFERROR(__xludf.DUMMYFUNCTION("""COMPUTED_VALUE"""),"Antecâmara Setor B")</f>
        <v>Antecâmara Setor B</v>
      </c>
      <c r="D203" s="108" t="str">
        <f>IFERROR(__xludf.DUMMYFUNCTION("""COMPUTED_VALUE"""),"5ºPav.")</f>
        <v>5ºPav.</v>
      </c>
      <c r="E203" s="108" t="str">
        <f>IFERROR(__xludf.DUMMYFUNCTION("""COMPUTED_VALUE"""),"B")</f>
        <v>B</v>
      </c>
      <c r="F203" s="108">
        <f>IFERROR(__xludf.DUMMYFUNCTION("""COMPUTED_VALUE"""),57.0)</f>
        <v>57</v>
      </c>
      <c r="G203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b6dfb19b8cce4947a2edaa0fd2b5d3ea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b6dfb19b8cce4947a2edaa0fd2b5d3ea&amp;showComments=1&amp;guid=6882be48-6626-5238-d3df-94e9f0a0019d</v>
      </c>
      <c r="H203" s="108" t="str">
        <f>IFERROR(__xludf.DUMMYFUNCTION("""COMPUTED_VALUE"""),"Circulação / Corredores")</f>
        <v>Circulação / Corredores</v>
      </c>
      <c r="I203" s="108"/>
      <c r="J203" s="108"/>
    </row>
    <row r="204">
      <c r="A204" s="109" t="str">
        <f>IFERROR(__xludf.DUMMYFUNCTION("""COMPUTED_VALUE"""),"5ºPav.-Antecâmara Vestiários")</f>
        <v>5ºPav.-Antecâmara Vestiários</v>
      </c>
      <c r="B204" s="108" t="str">
        <f>IFERROR(__xludf.DUMMYFUNCTION("""COMPUTED_VALUE"""),"5ºPav.")</f>
        <v>5ºPav.</v>
      </c>
      <c r="C204" s="108" t="str">
        <f>IFERROR(__xludf.DUMMYFUNCTION("""COMPUTED_VALUE"""),"Antecâmara Vestiários")</f>
        <v>Antecâmara Vestiários</v>
      </c>
      <c r="D204" s="108" t="str">
        <f>IFERROR(__xludf.DUMMYFUNCTION("""COMPUTED_VALUE"""),"5ºPav.")</f>
        <v>5ºPav.</v>
      </c>
      <c r="E204" s="108" t="str">
        <f>IFERROR(__xludf.DUMMYFUNCTION("""COMPUTED_VALUE"""),"B")</f>
        <v>B</v>
      </c>
      <c r="F204" s="108">
        <f>IFERROR(__xludf.DUMMYFUNCTION("""COMPUTED_VALUE"""),48.0)</f>
        <v>48</v>
      </c>
      <c r="G204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45df94d4a3a844b48e57e28ac1e38814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45df94d4a3a844b48e57e28ac1e38814&amp;showComments=1&amp;guid=6882be48-6626-5238-d3df-94e9f0a0019d</v>
      </c>
      <c r="H204" s="108" t="str">
        <f>IFERROR(__xludf.DUMMYFUNCTION("""COMPUTED_VALUE"""),"Vestiário")</f>
        <v>Vestiário</v>
      </c>
      <c r="I204" s="108"/>
      <c r="J204" s="108"/>
    </row>
    <row r="205">
      <c r="A205" s="109" t="str">
        <f>IFERROR(__xludf.DUMMYFUNCTION("""COMPUTED_VALUE"""),"5ºPav.-Circulação Vestiários")</f>
        <v>5ºPav.-Circulação Vestiários</v>
      </c>
      <c r="B205" s="108" t="str">
        <f>IFERROR(__xludf.DUMMYFUNCTION("""COMPUTED_VALUE"""),"5ºPav.")</f>
        <v>5ºPav.</v>
      </c>
      <c r="C205" s="108" t="str">
        <f>IFERROR(__xludf.DUMMYFUNCTION("""COMPUTED_VALUE"""),"Circulação Vestiários")</f>
        <v>Circulação Vestiários</v>
      </c>
      <c r="D205" s="108" t="str">
        <f>IFERROR(__xludf.DUMMYFUNCTION("""COMPUTED_VALUE"""),"5ºPav.")</f>
        <v>5ºPav.</v>
      </c>
      <c r="E205" s="108" t="str">
        <f>IFERROR(__xludf.DUMMYFUNCTION("""COMPUTED_VALUE"""),"B")</f>
        <v>B</v>
      </c>
      <c r="F205" s="108">
        <f>IFERROR(__xludf.DUMMYFUNCTION("""COMPUTED_VALUE"""),65.0)</f>
        <v>65</v>
      </c>
      <c r="G205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ae4525c65fea47c6b3d5e6b1e5adaed5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ae4525c65fea47c6b3d5e6b1e5adaed5&amp;showComments=1&amp;guid=6882be48-6626-5238-d3df-94e9f0a0019d</v>
      </c>
      <c r="H205" s="108" t="str">
        <f>IFERROR(__xludf.DUMMYFUNCTION("""COMPUTED_VALUE"""),"Vestiário")</f>
        <v>Vestiário</v>
      </c>
      <c r="I205" s="108"/>
      <c r="J205" s="108"/>
    </row>
    <row r="206">
      <c r="A206" s="109" t="str">
        <f>IFERROR(__xludf.DUMMYFUNCTION("""COMPUTED_VALUE"""),"5ºPav.-Circulação Monta Carga")</f>
        <v>5ºPav.-Circulação Monta Carga</v>
      </c>
      <c r="B206" s="108" t="str">
        <f>IFERROR(__xludf.DUMMYFUNCTION("""COMPUTED_VALUE"""),"5ºPav.")</f>
        <v>5ºPav.</v>
      </c>
      <c r="C206" s="108" t="str">
        <f>IFERROR(__xludf.DUMMYFUNCTION("""COMPUTED_VALUE"""),"Circulação Monta Carga")</f>
        <v>Circulação Monta Carga</v>
      </c>
      <c r="D206" s="108" t="str">
        <f>IFERROR(__xludf.DUMMYFUNCTION("""COMPUTED_VALUE"""),"5ºPav.")</f>
        <v>5ºPav.</v>
      </c>
      <c r="E206" s="108" t="str">
        <f>IFERROR(__xludf.DUMMYFUNCTION("""COMPUTED_VALUE"""),"A")</f>
        <v>A</v>
      </c>
      <c r="F206" s="108">
        <f>IFERROR(__xludf.DUMMYFUNCTION("""COMPUTED_VALUE"""),63.0)</f>
        <v>63</v>
      </c>
      <c r="G206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30b70129a5494a598b4d5e5390333762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30b70129a5494a598b4d5e5390333762&amp;showComments=1&amp;guid=6882be48-6626-5238-d3df-94e9f0a0019d</v>
      </c>
      <c r="H206" s="108" t="str">
        <f>IFERROR(__xludf.DUMMYFUNCTION("""COMPUTED_VALUE"""),"Outros")</f>
        <v>Outros</v>
      </c>
      <c r="I206" s="108"/>
      <c r="J206" s="108"/>
    </row>
    <row r="207">
      <c r="A207" s="109" t="str">
        <f>IFERROR(__xludf.DUMMYFUNCTION("""COMPUTED_VALUE"""),"5ºPav.-Copa")</f>
        <v>5ºPav.-Copa</v>
      </c>
      <c r="B207" s="108" t="str">
        <f>IFERROR(__xludf.DUMMYFUNCTION("""COMPUTED_VALUE"""),"5ºPav.")</f>
        <v>5ºPav.</v>
      </c>
      <c r="C207" s="108" t="str">
        <f>IFERROR(__xludf.DUMMYFUNCTION("""COMPUTED_VALUE"""),"Copa")</f>
        <v>Copa</v>
      </c>
      <c r="D207" s="108" t="str">
        <f>IFERROR(__xludf.DUMMYFUNCTION("""COMPUTED_VALUE"""),"5ºPav.")</f>
        <v>5ºPav.</v>
      </c>
      <c r="E207" s="108" t="str">
        <f>IFERROR(__xludf.DUMMYFUNCTION("""COMPUTED_VALUE"""),"B")</f>
        <v>B</v>
      </c>
      <c r="F207" s="108"/>
      <c r="G207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c55b34d21cfa4c9e83007921eb1b27d5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c55b34d21cfa4c9e83007921eb1b27d5&amp;showComments=1&amp;guid=6882be48-6626-5238-d3df-94e9f0a0019d</v>
      </c>
      <c r="H207" s="108" t="str">
        <f>IFERROR(__xludf.DUMMYFUNCTION("""COMPUTED_VALUE"""),"Copa")</f>
        <v>Copa</v>
      </c>
      <c r="I207" s="108"/>
      <c r="J207" s="108"/>
    </row>
    <row r="208">
      <c r="A208" s="109" t="str">
        <f>IFERROR(__xludf.DUMMYFUNCTION("""COMPUTED_VALUE"""),"5ºPav.-Copa Acompanhantes")</f>
        <v>5ºPav.-Copa Acompanhantes</v>
      </c>
      <c r="B208" s="108" t="str">
        <f>IFERROR(__xludf.DUMMYFUNCTION("""COMPUTED_VALUE"""),"5ºPav.")</f>
        <v>5ºPav.</v>
      </c>
      <c r="C208" s="108" t="str">
        <f>IFERROR(__xludf.DUMMYFUNCTION("""COMPUTED_VALUE"""),"Copa Acompanhantes")</f>
        <v>Copa Acompanhantes</v>
      </c>
      <c r="D208" s="108" t="str">
        <f>IFERROR(__xludf.DUMMYFUNCTION("""COMPUTED_VALUE"""),"5ºPav.")</f>
        <v>5ºPav.</v>
      </c>
      <c r="E208" s="108" t="str">
        <f>IFERROR(__xludf.DUMMYFUNCTION("""COMPUTED_VALUE"""),"A")</f>
        <v>A</v>
      </c>
      <c r="F208" s="108">
        <f>IFERROR(__xludf.DUMMYFUNCTION("""COMPUTED_VALUE"""),64.0)</f>
        <v>64</v>
      </c>
      <c r="G208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4215a2ebcb6548b8ab6fcf9c9a931441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4215a2ebcb6548b8ab6fcf9c9a931441&amp;showComments=1&amp;guid=6882be48-6626-5238-d3df-94e9f0a0019d</v>
      </c>
      <c r="H208" s="108" t="str">
        <f>IFERROR(__xludf.DUMMYFUNCTION("""COMPUTED_VALUE"""),"Copa")</f>
        <v>Copa</v>
      </c>
      <c r="I208" s="108"/>
      <c r="J208" s="108"/>
    </row>
    <row r="209">
      <c r="A209" s="109" t="str">
        <f>IFERROR(__xludf.DUMMYFUNCTION("""COMPUTED_VALUE"""),"5ºPav.-Copa Funcionários")</f>
        <v>5ºPav.-Copa Funcionários</v>
      </c>
      <c r="B209" s="108" t="str">
        <f>IFERROR(__xludf.DUMMYFUNCTION("""COMPUTED_VALUE"""),"5ºPav.")</f>
        <v>5ºPav.</v>
      </c>
      <c r="C209" s="108" t="str">
        <f>IFERROR(__xludf.DUMMYFUNCTION("""COMPUTED_VALUE"""),"Copa Funcionários")</f>
        <v>Copa Funcionários</v>
      </c>
      <c r="D209" s="108" t="str">
        <f>IFERROR(__xludf.DUMMYFUNCTION("""COMPUTED_VALUE"""),"5ºPav.")</f>
        <v>5ºPav.</v>
      </c>
      <c r="E209" s="108" t="str">
        <f>IFERROR(__xludf.DUMMYFUNCTION("""COMPUTED_VALUE"""),"B")</f>
        <v>B</v>
      </c>
      <c r="F209" s="108"/>
      <c r="G209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515815924e5c49919147778180d97dd9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515815924e5c49919147778180d97dd9&amp;showComments=1&amp;guid=6882be48-6626-5238-d3df-94e9f0a0019d</v>
      </c>
      <c r="H209" s="108" t="str">
        <f>IFERROR(__xludf.DUMMYFUNCTION("""COMPUTED_VALUE"""),"Copa")</f>
        <v>Copa</v>
      </c>
      <c r="I209" s="108"/>
      <c r="J209" s="108"/>
    </row>
    <row r="210">
      <c r="A210" s="109" t="str">
        <f>IFERROR(__xludf.DUMMYFUNCTION("""COMPUTED_VALUE"""),"5ºPav.-Corredor Central Setor A")</f>
        <v>5ºPav.-Corredor Central Setor A</v>
      </c>
      <c r="B210" s="108" t="str">
        <f>IFERROR(__xludf.DUMMYFUNCTION("""COMPUTED_VALUE"""),"5ºPav.")</f>
        <v>5ºPav.</v>
      </c>
      <c r="C210" s="108" t="str">
        <f>IFERROR(__xludf.DUMMYFUNCTION("""COMPUTED_VALUE"""),"Corredor Central Setor A")</f>
        <v>Corredor Central Setor A</v>
      </c>
      <c r="D210" s="108" t="str">
        <f>IFERROR(__xludf.DUMMYFUNCTION("""COMPUTED_VALUE"""),"5ºPav.")</f>
        <v>5ºPav.</v>
      </c>
      <c r="E210" s="108" t="str">
        <f>IFERROR(__xludf.DUMMYFUNCTION("""COMPUTED_VALUE"""),"A")</f>
        <v>A</v>
      </c>
      <c r="F210" s="108">
        <f>IFERROR(__xludf.DUMMYFUNCTION("""COMPUTED_VALUE"""),41.0)</f>
        <v>41</v>
      </c>
      <c r="G210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0efc72d52f14469f893f5f9db4d7f245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0efc72d52f14469f893f5f9db4d7f245&amp;showComments=1&amp;guid=6882be48-6626-5238-d3df-94e9f0a0019d</v>
      </c>
      <c r="H210" s="108" t="str">
        <f>IFERROR(__xludf.DUMMYFUNCTION("""COMPUTED_VALUE"""),"Circulação / Corredores")</f>
        <v>Circulação / Corredores</v>
      </c>
      <c r="I210" s="108"/>
      <c r="J210" s="108"/>
    </row>
    <row r="211">
      <c r="A211" s="109" t="str">
        <f>IFERROR(__xludf.DUMMYFUNCTION("""COMPUTED_VALUE"""),"5ºPav.-Corredor Central Setor B")</f>
        <v>5ºPav.-Corredor Central Setor B</v>
      </c>
      <c r="B211" s="108" t="str">
        <f>IFERROR(__xludf.DUMMYFUNCTION("""COMPUTED_VALUE"""),"5ºPav.")</f>
        <v>5ºPav.</v>
      </c>
      <c r="C211" s="108" t="str">
        <f>IFERROR(__xludf.DUMMYFUNCTION("""COMPUTED_VALUE"""),"Corredor Central Setor B")</f>
        <v>Corredor Central Setor B</v>
      </c>
      <c r="D211" s="108" t="str">
        <f>IFERROR(__xludf.DUMMYFUNCTION("""COMPUTED_VALUE"""),"5ºPav.")</f>
        <v>5ºPav.</v>
      </c>
      <c r="E211" s="108" t="str">
        <f>IFERROR(__xludf.DUMMYFUNCTION("""COMPUTED_VALUE"""),"B")</f>
        <v>B</v>
      </c>
      <c r="F211" s="108">
        <f>IFERROR(__xludf.DUMMYFUNCTION("""COMPUTED_VALUE"""),40.0)</f>
        <v>40</v>
      </c>
      <c r="G211" s="109" t="str">
        <f>IFERROR(__xludf.DUMMYFUNCTION("""COMPUTED_VALUE"""),"https://myhub.autodesk360.com/ue29d95bb/g/projects/20210514412106331/data/dXJuOmFkc2sud2lwcHJvZDpmcy5mb2xkZXI6Y28ucU04eGNtQzdReXliS0NURmJQYUFTQQ/dXJuOmFkc2sud2lwcHJvZDpkbS5saW5lYWdlOldZbnMxMUI5VHMyZTJveWJmSWdIaXc/viewer?version=1&amp;commentId=urn:adsk.commen"&amp;"ts:social.comment:bf46409708ff49ba86a24aa1c139f704&amp;showComments=1&amp;guid=6882be48-6626-5238-d3df-94e9f0a0019d")</f>
        <v>https://myhub.autodesk360.com/ue29d95bb/g/projects/20210514412106331/data/dXJuOmFkc2sud2lwcHJvZDpmcy5mb2xkZXI6Y28ucU04eGNtQzdReXliS0NURmJQYUFTQQ/dXJuOmFkc2sud2lwcHJvZDpkbS5saW5lYWdlOldZbnMxMUI5VHMyZTJveWJmSWdIaXc/viewer?version=1&amp;commentId=urn:adsk.comments:social.comment:bf46409708ff49ba86a24aa1c139f704&amp;showComments=1&amp;guid=6882be48-6626-5238-d3df-94e9f0a0019d</v>
      </c>
      <c r="H211" s="108" t="str">
        <f>IFERROR(__xludf.DUMMYFUNCTION("""COMPUTED_VALUE"""),"Circulação / Corredores")</f>
        <v>Circulação / Corredores</v>
      </c>
      <c r="I211" s="108"/>
      <c r="J211" s="108"/>
    </row>
    <row r="212">
      <c r="A212" s="109" t="str">
        <f>IFERROR(__xludf.DUMMYFUNCTION("""COMPUTED_VALUE"""),"5ºPav.-Depósito")</f>
        <v>5ºPav.-Depósito</v>
      </c>
      <c r="B212" s="108" t="str">
        <f>IFERROR(__xludf.DUMMYFUNCTION("""COMPUTED_VALUE"""),"5ºPav.")</f>
        <v>5ºPav.</v>
      </c>
      <c r="C212" s="108" t="str">
        <f>IFERROR(__xludf.DUMMYFUNCTION("""COMPUTED_VALUE"""),"Depósito")</f>
        <v>Depósito</v>
      </c>
      <c r="D212" s="108" t="str">
        <f>IFERROR(__xludf.DUMMYFUNCTION("""COMPUTED_VALUE"""),"5ºPav.")</f>
        <v>5ºPav.</v>
      </c>
      <c r="E212" s="108" t="str">
        <f>IFERROR(__xludf.DUMMYFUNCTION("""COMPUTED_VALUE"""),"A")</f>
        <v>A</v>
      </c>
      <c r="F212" s="108"/>
      <c r="G212" s="109" t="str">
        <f>IFERROR(__xludf.DUMMYFUNCTION("""COMPUTED_VALUE"""),"https://myhub.autodesk360.com/ue29d95bb/g/projects/20210514412106331/data/dXJuOmFkc2sud2lwcHJvZDpmcy5mb2xkZXI6Y28ucU04eGNtQzdReXliS0NURmJQYUFTQQ/dXJuOmFkc2sud2lwcHJvZDpkbS5saW5lYWdlOnVra1VxSVhpUnF1LWxsVktOREhscFE/viewer?version=1&amp;commentId=urn:adsk.commen"&amp;"ts:social.comment:7d843fd1ac5d46579b54ff385380cfb8&amp;showComments=1&amp;guid=6882be48-6626-5238-d3df-94e9f0a0019d")</f>
        <v>https://myhub.autodesk360.com/ue29d95bb/g/projects/20210514412106331/data/dXJuOmFkc2sud2lwcHJvZDpmcy5mb2xkZXI6Y28ucU04eGNtQzdReXliS0NURmJQYUFTQQ/dXJuOmFkc2sud2lwcHJvZDpkbS5saW5lYWdlOnVra1VxSVhpUnF1LWxsVktOREhscFE/viewer?version=1&amp;commentId=urn:adsk.comments:social.comment:7d843fd1ac5d46579b54ff385380cfb8&amp;showComments=1&amp;guid=6882be48-6626-5238-d3df-94e9f0a0019d</v>
      </c>
      <c r="H212" s="108" t="str">
        <f>IFERROR(__xludf.DUMMYFUNCTION("""COMPUTED_VALUE"""),"Outros")</f>
        <v>Outros</v>
      </c>
      <c r="I212" s="108"/>
      <c r="J212" s="108"/>
    </row>
    <row r="213">
      <c r="A213" s="109" t="str">
        <f>IFERROR(__xludf.DUMMYFUNCTION("""COMPUTED_VALUE"""),"5ºPav.-Depósito de Materiais e Equipamentos")</f>
        <v>5ºPav.-Depósito de Materiais e Equipamentos</v>
      </c>
      <c r="B213" s="108" t="str">
        <f>IFERROR(__xludf.DUMMYFUNCTION("""COMPUTED_VALUE"""),"5ºPav.")</f>
        <v>5ºPav.</v>
      </c>
      <c r="C213" s="108" t="str">
        <f>IFERROR(__xludf.DUMMYFUNCTION("""COMPUTED_VALUE"""),"Depósito de Materiais e Equipamentos")</f>
        <v>Depósito de Materiais e Equipamentos</v>
      </c>
      <c r="D213" s="108" t="str">
        <f>IFERROR(__xludf.DUMMYFUNCTION("""COMPUTED_VALUE"""),"5ºPav.")</f>
        <v>5ºPav.</v>
      </c>
      <c r="E213" s="108" t="str">
        <f>IFERROR(__xludf.DUMMYFUNCTION("""COMPUTED_VALUE"""),"B")</f>
        <v>B</v>
      </c>
      <c r="F213" s="108">
        <f>IFERROR(__xludf.DUMMYFUNCTION("""COMPUTED_VALUE"""),51.0)</f>
        <v>51</v>
      </c>
      <c r="G213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334e58f8fcc1438b86192f56aaa1a10d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334e58f8fcc1438b86192f56aaa1a10d&amp;showComments=1&amp;guid=6882be48-6626-5238-d3df-94e9f0a0019d</v>
      </c>
      <c r="H213" s="108" t="str">
        <f>IFERROR(__xludf.DUMMYFUNCTION("""COMPUTED_VALUE"""),"Depósito")</f>
        <v>Depósito</v>
      </c>
      <c r="I213" s="108"/>
      <c r="J213" s="108"/>
    </row>
    <row r="214">
      <c r="A214" s="109" t="str">
        <f>IFERROR(__xludf.DUMMYFUNCTION("""COMPUTED_VALUE"""),"5ºPav.-Depósito Temporário Resíduos")</f>
        <v>5ºPav.-Depósito Temporário Resíduos</v>
      </c>
      <c r="B214" s="108" t="str">
        <f>IFERROR(__xludf.DUMMYFUNCTION("""COMPUTED_VALUE"""),"5ºPav.")</f>
        <v>5ºPav.</v>
      </c>
      <c r="C214" s="108" t="str">
        <f>IFERROR(__xludf.DUMMYFUNCTION("""COMPUTED_VALUE"""),"Depósito Temporário Resíduos")</f>
        <v>Depósito Temporário Resíduos</v>
      </c>
      <c r="D214" s="108" t="str">
        <f>IFERROR(__xludf.DUMMYFUNCTION("""COMPUTED_VALUE"""),"5ºPav.")</f>
        <v>5ºPav.</v>
      </c>
      <c r="E214" s="108" t="str">
        <f>IFERROR(__xludf.DUMMYFUNCTION("""COMPUTED_VALUE"""),"B")</f>
        <v>B</v>
      </c>
      <c r="F214" s="108"/>
      <c r="G214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9503c362ed42470b91f0634b2cb0bdb1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9503c362ed42470b91f0634b2cb0bdb1&amp;showComments=1&amp;guid=6882be48-6626-5238-d3df-94e9f0a0019d</v>
      </c>
      <c r="H214" s="108" t="str">
        <f>IFERROR(__xludf.DUMMYFUNCTION("""COMPUTED_VALUE"""),"Depósito")</f>
        <v>Depósito</v>
      </c>
      <c r="I214" s="108"/>
      <c r="J214" s="108"/>
    </row>
    <row r="215">
      <c r="A215" s="109" t="str">
        <f>IFERROR(__xludf.DUMMYFUNCTION("""COMPUTED_VALUE"""),"5ºPav.-DML")</f>
        <v>5ºPav.-DML</v>
      </c>
      <c r="B215" s="108" t="str">
        <f>IFERROR(__xludf.DUMMYFUNCTION("""COMPUTED_VALUE"""),"5ºPav.")</f>
        <v>5ºPav.</v>
      </c>
      <c r="C215" s="108" t="str">
        <f>IFERROR(__xludf.DUMMYFUNCTION("""COMPUTED_VALUE"""),"DML")</f>
        <v>DML</v>
      </c>
      <c r="D215" s="108" t="str">
        <f>IFERROR(__xludf.DUMMYFUNCTION("""COMPUTED_VALUE"""),"5ºPav.")</f>
        <v>5ºPav.</v>
      </c>
      <c r="E215" s="108" t="str">
        <f>IFERROR(__xludf.DUMMYFUNCTION("""COMPUTED_VALUE"""),"B")</f>
        <v>B</v>
      </c>
      <c r="F215" s="108"/>
      <c r="G215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6ce382cadc78446194f4c80de202cf21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6ce382cadc78446194f4c80de202cf21&amp;showComments=1&amp;guid=6882be48-6626-5238-d3df-94e9f0a0019d</v>
      </c>
      <c r="H215" s="108" t="str">
        <f>IFERROR(__xludf.DUMMYFUNCTION("""COMPUTED_VALUE"""),"Depósito")</f>
        <v>Depósito</v>
      </c>
      <c r="I215" s="108"/>
      <c r="J215" s="108"/>
    </row>
    <row r="216">
      <c r="A216" s="109" t="str">
        <f>IFERROR(__xludf.DUMMYFUNCTION("""COMPUTED_VALUE"""),"5ºPav.-Escada Prova de Fogo Setor B")</f>
        <v>5ºPav.-Escada Prova de Fogo Setor B</v>
      </c>
      <c r="B216" s="108" t="str">
        <f>IFERROR(__xludf.DUMMYFUNCTION("""COMPUTED_VALUE"""),"5ºPav.")</f>
        <v>5ºPav.</v>
      </c>
      <c r="C216" s="108" t="str">
        <f>IFERROR(__xludf.DUMMYFUNCTION("""COMPUTED_VALUE"""),"Escada Prova de Fogo Setor B")</f>
        <v>Escada Prova de Fogo Setor B</v>
      </c>
      <c r="D216" s="108" t="str">
        <f>IFERROR(__xludf.DUMMYFUNCTION("""COMPUTED_VALUE"""),"5ºPav.")</f>
        <v>5ºPav.</v>
      </c>
      <c r="E216" s="108" t="str">
        <f>IFERROR(__xludf.DUMMYFUNCTION("""COMPUTED_VALUE"""),"B")</f>
        <v>B</v>
      </c>
      <c r="F216" s="108">
        <f>IFERROR(__xludf.DUMMYFUNCTION("""COMPUTED_VALUE"""),67.0)</f>
        <v>67</v>
      </c>
      <c r="G216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e143546818274d8494b369b031126381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e143546818274d8494b369b031126381&amp;showComments=1&amp;guid=6882be48-6626-5238-d3df-94e9f0a0019d</v>
      </c>
      <c r="H216" s="108" t="str">
        <f>IFERROR(__xludf.DUMMYFUNCTION("""COMPUTED_VALUE"""),"Escadas")</f>
        <v>Escadas</v>
      </c>
      <c r="I216" s="108"/>
      <c r="J216" s="108"/>
    </row>
    <row r="217">
      <c r="A217" s="109" t="str">
        <f>IFERROR(__xludf.DUMMYFUNCTION("""COMPUTED_VALUE"""),"5ºPav.-Guarda Pertences Acompanhantes")</f>
        <v>5ºPav.-Guarda Pertences Acompanhantes</v>
      </c>
      <c r="B217" s="108" t="str">
        <f>IFERROR(__xludf.DUMMYFUNCTION("""COMPUTED_VALUE"""),"5ºPav.")</f>
        <v>5ºPav.</v>
      </c>
      <c r="C217" s="108" t="str">
        <f>IFERROR(__xludf.DUMMYFUNCTION("""COMPUTED_VALUE"""),"Guarda Pertences Acompanhantes")</f>
        <v>Guarda Pertences Acompanhantes</v>
      </c>
      <c r="D217" s="108" t="str">
        <f>IFERROR(__xludf.DUMMYFUNCTION("""COMPUTED_VALUE"""),"5ºPav.")</f>
        <v>5ºPav.</v>
      </c>
      <c r="E217" s="108" t="str">
        <f>IFERROR(__xludf.DUMMYFUNCTION("""COMPUTED_VALUE"""),"A")</f>
        <v>A</v>
      </c>
      <c r="F217" s="108"/>
      <c r="G217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8fa70d81bda147f8ad9a8f80620827ef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8fa70d81bda147f8ad9a8f80620827ef&amp;showComments=1&amp;guid=6882be48-6626-5238-d3df-94e9f0a0019d</v>
      </c>
      <c r="H217" s="108" t="str">
        <f>IFERROR(__xludf.DUMMYFUNCTION("""COMPUTED_VALUE"""),"Outros")</f>
        <v>Outros</v>
      </c>
      <c r="I217" s="108"/>
      <c r="J217" s="108"/>
    </row>
    <row r="218">
      <c r="A218" s="109" t="str">
        <f>IFERROR(__xludf.DUMMYFUNCTION("""COMPUTED_VALUE"""),"5ºPav.-Guarda de Macas")</f>
        <v>5ºPav.-Guarda de Macas</v>
      </c>
      <c r="B218" s="108" t="str">
        <f>IFERROR(__xludf.DUMMYFUNCTION("""COMPUTED_VALUE"""),"5ºPav.")</f>
        <v>5ºPav.</v>
      </c>
      <c r="C218" s="108" t="str">
        <f>IFERROR(__xludf.DUMMYFUNCTION("""COMPUTED_VALUE"""),"Guarda de Macas")</f>
        <v>Guarda de Macas</v>
      </c>
      <c r="D218" s="108" t="str">
        <f>IFERROR(__xludf.DUMMYFUNCTION("""COMPUTED_VALUE"""),"5ºPav.")</f>
        <v>5ºPav.</v>
      </c>
      <c r="E218" s="108" t="str">
        <f>IFERROR(__xludf.DUMMYFUNCTION("""COMPUTED_VALUE"""),"A")</f>
        <v>A</v>
      </c>
      <c r="F218" s="108">
        <f>IFERROR(__xludf.DUMMYFUNCTION("""COMPUTED_VALUE"""),66.0)</f>
        <v>66</v>
      </c>
      <c r="G218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ffc3987f309f49da80d0ef933e4fc84e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ffc3987f309f49da80d0ef933e4fc84e&amp;showComments=1&amp;guid=6882be48-6626-5238-d3df-94e9f0a0019d</v>
      </c>
      <c r="H218" s="108" t="str">
        <f>IFERROR(__xludf.DUMMYFUNCTION("""COMPUTED_VALUE"""),"Outros")</f>
        <v>Outros</v>
      </c>
      <c r="I218" s="108"/>
      <c r="J218" s="108"/>
    </row>
    <row r="219">
      <c r="A219" s="109" t="str">
        <f>IFERROR(__xludf.DUMMYFUNCTION("""COMPUTED_VALUE"""),"5ºPav.-Hall Elevador Público")</f>
        <v>5ºPav.-Hall Elevador Público</v>
      </c>
      <c r="B219" s="108" t="str">
        <f>IFERROR(__xludf.DUMMYFUNCTION("""COMPUTED_VALUE"""),"5ºPav.")</f>
        <v>5ºPav.</v>
      </c>
      <c r="C219" s="108" t="str">
        <f>IFERROR(__xludf.DUMMYFUNCTION("""COMPUTED_VALUE"""),"Hall Elevador Público")</f>
        <v>Hall Elevador Público</v>
      </c>
      <c r="D219" s="108" t="str">
        <f>IFERROR(__xludf.DUMMYFUNCTION("""COMPUTED_VALUE"""),"5ºPav.")</f>
        <v>5ºPav.</v>
      </c>
      <c r="E219" s="108" t="str">
        <f>IFERROR(__xludf.DUMMYFUNCTION("""COMPUTED_VALUE"""),"A")</f>
        <v>A</v>
      </c>
      <c r="F219" s="108">
        <f>IFERROR(__xludf.DUMMYFUNCTION("""COMPUTED_VALUE"""),59.0)</f>
        <v>59</v>
      </c>
      <c r="G219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0962b26d1f204033b1dbc3cac9789021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0962b26d1f204033b1dbc3cac9789021&amp;showComments=1&amp;guid=6882be48-6626-5238-d3df-94e9f0a0019d</v>
      </c>
      <c r="H219" s="108" t="str">
        <f>IFERROR(__xludf.DUMMYFUNCTION("""COMPUTED_VALUE"""),"Circulação / Corredores")</f>
        <v>Circulação / Corredores</v>
      </c>
      <c r="I219" s="109" t="str">
        <f>IFERROR(__xludf.DUMMYFUNCTION("""COMPUTED_VALUE"""),"https://photos.google.com/search/5%C2%BAPav.-Hall%20Elevador%20P%C3%BAblico")</f>
        <v>https://photos.google.com/search/5%C2%BAPav.-Hall%20Elevador%20P%C3%BAblico</v>
      </c>
      <c r="J219" s="108"/>
    </row>
    <row r="220">
      <c r="A220" s="109" t="str">
        <f>IFERROR(__xludf.DUMMYFUNCTION("""COMPUTED_VALUE"""),"5ºPav.-Hall Elevador Serviço")</f>
        <v>5ºPav.-Hall Elevador Serviço</v>
      </c>
      <c r="B220" s="108" t="str">
        <f>IFERROR(__xludf.DUMMYFUNCTION("""COMPUTED_VALUE"""),"5ºPav.")</f>
        <v>5ºPav.</v>
      </c>
      <c r="C220" s="108" t="str">
        <f>IFERROR(__xludf.DUMMYFUNCTION("""COMPUTED_VALUE"""),"Hall Elevador Serviço")</f>
        <v>Hall Elevador Serviço</v>
      </c>
      <c r="D220" s="108" t="str">
        <f>IFERROR(__xludf.DUMMYFUNCTION("""COMPUTED_VALUE"""),"5ºPav.")</f>
        <v>5ºPav.</v>
      </c>
      <c r="E220" s="108" t="str">
        <f>IFERROR(__xludf.DUMMYFUNCTION("""COMPUTED_VALUE"""),"B")</f>
        <v>B</v>
      </c>
      <c r="F220" s="108">
        <f>IFERROR(__xludf.DUMMYFUNCTION("""COMPUTED_VALUE"""),60.0)</f>
        <v>60</v>
      </c>
      <c r="G220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showComments=1&amp;guid=6882be48-6626-5238-d3df-94e9f0a0019d</v>
      </c>
      <c r="H220" s="108" t="str">
        <f>IFERROR(__xludf.DUMMYFUNCTION("""COMPUTED_VALUE"""),"Circulação / Corredores")</f>
        <v>Circulação / Corredores</v>
      </c>
      <c r="I220" s="108"/>
      <c r="J220" s="108"/>
    </row>
    <row r="221">
      <c r="A221" s="109" t="str">
        <f>IFERROR(__xludf.DUMMYFUNCTION("""COMPUTED_VALUE"""),"5ºPav.-Passarela Setor A")</f>
        <v>5ºPav.-Passarela Setor A</v>
      </c>
      <c r="B221" s="108" t="str">
        <f>IFERROR(__xludf.DUMMYFUNCTION("""COMPUTED_VALUE"""),"5ºPav.")</f>
        <v>5ºPav.</v>
      </c>
      <c r="C221" s="108" t="str">
        <f>IFERROR(__xludf.DUMMYFUNCTION("""COMPUTED_VALUE"""),"Passarela Setor A")</f>
        <v>Passarela Setor A</v>
      </c>
      <c r="D221" s="108" t="str">
        <f>IFERROR(__xludf.DUMMYFUNCTION("""COMPUTED_VALUE"""),"5ºPav.")</f>
        <v>5ºPav.</v>
      </c>
      <c r="E221" s="108" t="str">
        <f>IFERROR(__xludf.DUMMYFUNCTION("""COMPUTED_VALUE"""),"A")</f>
        <v>A</v>
      </c>
      <c r="F221" s="108">
        <f>IFERROR(__xludf.DUMMYFUNCTION("""COMPUTED_VALUE"""),62.0)</f>
        <v>62</v>
      </c>
      <c r="G221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460bdc2bd4b04700bedf4b63024dc86c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460bdc2bd4b04700bedf4b63024dc86c&amp;showComments=1&amp;guid=6882be48-6626-5238-d3df-94e9f0a0019d</v>
      </c>
      <c r="H221" s="108" t="str">
        <f>IFERROR(__xludf.DUMMYFUNCTION("""COMPUTED_VALUE"""),"Circulação / Corredores")</f>
        <v>Circulação / Corredores</v>
      </c>
      <c r="I221" s="108"/>
      <c r="J221" s="108"/>
    </row>
    <row r="222">
      <c r="A222" s="109" t="str">
        <f>IFERROR(__xludf.DUMMYFUNCTION("""COMPUTED_VALUE"""),"5ºPav.-Passarela Setor B")</f>
        <v>5ºPav.-Passarela Setor B</v>
      </c>
      <c r="B222" s="108" t="str">
        <f>IFERROR(__xludf.DUMMYFUNCTION("""COMPUTED_VALUE"""),"5ºPav.")</f>
        <v>5ºPav.</v>
      </c>
      <c r="C222" s="108" t="str">
        <f>IFERROR(__xludf.DUMMYFUNCTION("""COMPUTED_VALUE"""),"Passarela Setor B")</f>
        <v>Passarela Setor B</v>
      </c>
      <c r="D222" s="108" t="str">
        <f>IFERROR(__xludf.DUMMYFUNCTION("""COMPUTED_VALUE"""),"5ºPav.")</f>
        <v>5ºPav.</v>
      </c>
      <c r="E222" s="108" t="str">
        <f>IFERROR(__xludf.DUMMYFUNCTION("""COMPUTED_VALUE"""),"B")</f>
        <v>B</v>
      </c>
      <c r="F222" s="108">
        <f>IFERROR(__xludf.DUMMYFUNCTION("""COMPUTED_VALUE"""),61.0)</f>
        <v>61</v>
      </c>
      <c r="G222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f4b3a85ec4794fd88d32a8f512b13f4d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f4b3a85ec4794fd88d32a8f512b13f4d&amp;showComments=1&amp;guid=6882be48-6626-5238-d3df-94e9f0a0019d</v>
      </c>
      <c r="H222" s="108" t="str">
        <f>IFERROR(__xludf.DUMMYFUNCTION("""COMPUTED_VALUE"""),"Circulação / Corredores")</f>
        <v>Circulação / Corredores</v>
      </c>
      <c r="I222" s="109" t="str">
        <f>IFERROR(__xludf.DUMMYFUNCTION("""COMPUTED_VALUE"""),"https://photos.google.com/search/5%C2%BAPav.-Passarela%20Setor%20B")</f>
        <v>https://photos.google.com/search/5%C2%BAPav.-Passarela%20Setor%20B</v>
      </c>
      <c r="J222" s="108"/>
    </row>
    <row r="223">
      <c r="A223" s="109" t="str">
        <f>IFERROR(__xludf.DUMMYFUNCTION("""COMPUTED_VALUE"""),"5ºPav.-Posto de Enfermagem Setor A")</f>
        <v>5ºPav.-Posto de Enfermagem Setor A</v>
      </c>
      <c r="B223" s="108" t="str">
        <f>IFERROR(__xludf.DUMMYFUNCTION("""COMPUTED_VALUE"""),"5ºPav.")</f>
        <v>5ºPav.</v>
      </c>
      <c r="C223" s="108" t="str">
        <f>IFERROR(__xludf.DUMMYFUNCTION("""COMPUTED_VALUE"""),"Posto de Enfermagem Setor A")</f>
        <v>Posto de Enfermagem Setor A</v>
      </c>
      <c r="D223" s="108" t="str">
        <f>IFERROR(__xludf.DUMMYFUNCTION("""COMPUTED_VALUE"""),"5ºPav.")</f>
        <v>5ºPav.</v>
      </c>
      <c r="E223" s="108" t="str">
        <f>IFERROR(__xludf.DUMMYFUNCTION("""COMPUTED_VALUE"""),"A")</f>
        <v>A</v>
      </c>
      <c r="F223" s="108">
        <f>IFERROR(__xludf.DUMMYFUNCTION("""COMPUTED_VALUE"""),30.0)</f>
        <v>30</v>
      </c>
      <c r="G223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552da23a722b42b394ab1d6bb01e383e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552da23a722b42b394ab1d6bb01e383e&amp;showComments=1&amp;guid=6882be48-6626-5238-d3df-94e9f0a0019d</v>
      </c>
      <c r="H223" s="108" t="str">
        <f>IFERROR(__xludf.DUMMYFUNCTION("""COMPUTED_VALUE"""),"Posto Enfermagem")</f>
        <v>Posto Enfermagem</v>
      </c>
      <c r="I223" s="108"/>
      <c r="J223" s="108"/>
    </row>
    <row r="224">
      <c r="A224" s="109" t="str">
        <f>IFERROR(__xludf.DUMMYFUNCTION("""COMPUTED_VALUE"""),"5ºPav.-Posto de Enfermagem Setor B")</f>
        <v>5ºPav.-Posto de Enfermagem Setor B</v>
      </c>
      <c r="B224" s="108" t="str">
        <f>IFERROR(__xludf.DUMMYFUNCTION("""COMPUTED_VALUE"""),"5ºPav.")</f>
        <v>5ºPav.</v>
      </c>
      <c r="C224" s="108" t="str">
        <f>IFERROR(__xludf.DUMMYFUNCTION("""COMPUTED_VALUE"""),"Posto de Enfermagem Setor B")</f>
        <v>Posto de Enfermagem Setor B</v>
      </c>
      <c r="D224" s="108" t="str">
        <f>IFERROR(__xludf.DUMMYFUNCTION("""COMPUTED_VALUE"""),"5ºPav.")</f>
        <v>5ºPav.</v>
      </c>
      <c r="E224" s="108" t="str">
        <f>IFERROR(__xludf.DUMMYFUNCTION("""COMPUTED_VALUE"""),"B")</f>
        <v>B</v>
      </c>
      <c r="F224" s="108">
        <f>IFERROR(__xludf.DUMMYFUNCTION("""COMPUTED_VALUE"""),29.0)</f>
        <v>29</v>
      </c>
      <c r="G224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3cd765ce594a4842b5b936da9abd848a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3cd765ce594a4842b5b936da9abd848a&amp;showComments=1&amp;guid=6882be48-6626-5238-d3df-94e9f0a0019d</v>
      </c>
      <c r="H224" s="108" t="str">
        <f>IFERROR(__xludf.DUMMYFUNCTION("""COMPUTED_VALUE"""),"Posto Enfermagem")</f>
        <v>Posto Enfermagem</v>
      </c>
      <c r="I224" s="108"/>
      <c r="J224" s="108"/>
    </row>
    <row r="225">
      <c r="A225" s="109" t="str">
        <f>IFERROR(__xludf.DUMMYFUNCTION("""COMPUTED_VALUE"""),"5ºPav.-Prescrição Setor A")</f>
        <v>5ºPav.-Prescrição Setor A</v>
      </c>
      <c r="B225" s="108" t="str">
        <f>IFERROR(__xludf.DUMMYFUNCTION("""COMPUTED_VALUE"""),"5ºPav.")</f>
        <v>5ºPav.</v>
      </c>
      <c r="C225" s="108" t="str">
        <f>IFERROR(__xludf.DUMMYFUNCTION("""COMPUTED_VALUE"""),"Prescrição Setor A")</f>
        <v>Prescrição Setor A</v>
      </c>
      <c r="D225" s="108" t="str">
        <f>IFERROR(__xludf.DUMMYFUNCTION("""COMPUTED_VALUE"""),"5ºPav.")</f>
        <v>5ºPav.</v>
      </c>
      <c r="E225" s="108" t="str">
        <f>IFERROR(__xludf.DUMMYFUNCTION("""COMPUTED_VALUE"""),"A")</f>
        <v>A</v>
      </c>
      <c r="F225" s="108">
        <f>IFERROR(__xludf.DUMMYFUNCTION("""COMPUTED_VALUE"""),27.0)</f>
        <v>27</v>
      </c>
      <c r="G225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d78ac1b6a2834ec392ccab28a2ad9156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d78ac1b6a2834ec392ccab28a2ad9156&amp;showComments=1&amp;guid=6882be48-6626-5238-d3df-94e9f0a0019d</v>
      </c>
      <c r="H225" s="108" t="str">
        <f>IFERROR(__xludf.DUMMYFUNCTION("""COMPUTED_VALUE"""),"Posto Enfermagem")</f>
        <v>Posto Enfermagem</v>
      </c>
      <c r="I225" s="108"/>
      <c r="J225" s="108"/>
    </row>
    <row r="226">
      <c r="A226" s="109" t="str">
        <f>IFERROR(__xludf.DUMMYFUNCTION("""COMPUTED_VALUE"""),"5ºPav.-Prescrição Setor B")</f>
        <v>5ºPav.-Prescrição Setor B</v>
      </c>
      <c r="B226" s="108" t="str">
        <f>IFERROR(__xludf.DUMMYFUNCTION("""COMPUTED_VALUE"""),"5ºPav.")</f>
        <v>5ºPav.</v>
      </c>
      <c r="C226" s="108" t="str">
        <f>IFERROR(__xludf.DUMMYFUNCTION("""COMPUTED_VALUE"""),"Prescrição Setor B")</f>
        <v>Prescrição Setor B</v>
      </c>
      <c r="D226" s="108" t="str">
        <f>IFERROR(__xludf.DUMMYFUNCTION("""COMPUTED_VALUE"""),"5ºPav.")</f>
        <v>5ºPav.</v>
      </c>
      <c r="E226" s="108" t="str">
        <f>IFERROR(__xludf.DUMMYFUNCTION("""COMPUTED_VALUE"""),"B")</f>
        <v>B</v>
      </c>
      <c r="F226" s="108">
        <f>IFERROR(__xludf.DUMMYFUNCTION("""COMPUTED_VALUE"""),31.0)</f>
        <v>31</v>
      </c>
      <c r="G226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92b8e2cbe58f4e93b338e7715858fe96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92b8e2cbe58f4e93b338e7715858fe96&amp;showComments=1&amp;guid=6882be48-6626-5238-d3df-94e9f0a0019d</v>
      </c>
      <c r="H226" s="108" t="str">
        <f>IFERROR(__xludf.DUMMYFUNCTION("""COMPUTED_VALUE"""),"Posto Enfermagem")</f>
        <v>Posto Enfermagem</v>
      </c>
      <c r="I226" s="108"/>
      <c r="J226" s="108"/>
    </row>
    <row r="227">
      <c r="A227" s="109" t="str">
        <f>IFERROR(__xludf.DUMMYFUNCTION("""COMPUTED_VALUE"""),"5ºPav.-Quarto 501 ( 401 A )")</f>
        <v>5ºPav.-Quarto 501 ( 401 A )</v>
      </c>
      <c r="B227" s="108" t="str">
        <f>IFERROR(__xludf.DUMMYFUNCTION("""COMPUTED_VALUE"""),"5ºPav.")</f>
        <v>5ºPav.</v>
      </c>
      <c r="C227" s="108" t="str">
        <f>IFERROR(__xludf.DUMMYFUNCTION("""COMPUTED_VALUE"""),"Quarto 501 ( 401 A )")</f>
        <v>Quarto 501 ( 401 A )</v>
      </c>
      <c r="D227" s="108" t="str">
        <f>IFERROR(__xludf.DUMMYFUNCTION("""COMPUTED_VALUE"""),"5ºPav.")</f>
        <v>5ºPav.</v>
      </c>
      <c r="E227" s="108" t="str">
        <f>IFERROR(__xludf.DUMMYFUNCTION("""COMPUTED_VALUE"""),"A")</f>
        <v>A</v>
      </c>
      <c r="F227" s="108"/>
      <c r="G227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fd0a158731ab4e5cb676a5de7d6f7f8a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fd0a158731ab4e5cb676a5de7d6f7f8a&amp;showComments=1&amp;guid=6882be48-6626-5238-d3df-94e9f0a0019d</v>
      </c>
      <c r="H227" s="108" t="str">
        <f>IFERROR(__xludf.DUMMYFUNCTION("""COMPUTED_VALUE"""),"Quarto")</f>
        <v>Quarto</v>
      </c>
      <c r="I227" s="108"/>
      <c r="J227" s="108"/>
    </row>
    <row r="228">
      <c r="A228" s="109" t="str">
        <f>IFERROR(__xludf.DUMMYFUNCTION("""COMPUTED_VALUE"""),"5ºPav.-Quarto 502 ( 402 A )")</f>
        <v>5ºPav.-Quarto 502 ( 402 A )</v>
      </c>
      <c r="B228" s="108" t="str">
        <f>IFERROR(__xludf.DUMMYFUNCTION("""COMPUTED_VALUE"""),"5ºPav.")</f>
        <v>5ºPav.</v>
      </c>
      <c r="C228" s="108" t="str">
        <f>IFERROR(__xludf.DUMMYFUNCTION("""COMPUTED_VALUE"""),"Quarto 502 ( 402 A )")</f>
        <v>Quarto 502 ( 402 A )</v>
      </c>
      <c r="D228" s="108" t="str">
        <f>IFERROR(__xludf.DUMMYFUNCTION("""COMPUTED_VALUE"""),"5ºPav.")</f>
        <v>5ºPav.</v>
      </c>
      <c r="E228" s="108" t="str">
        <f>IFERROR(__xludf.DUMMYFUNCTION("""COMPUTED_VALUE"""),"A")</f>
        <v>A</v>
      </c>
      <c r="F228" s="108"/>
      <c r="G228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250c4556a5e34b3a8cfb306187ad9fd4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250c4556a5e34b3a8cfb306187ad9fd4&amp;showComments=1&amp;guid=6882be48-6626-5238-d3df-94e9f0a0019d</v>
      </c>
      <c r="H228" s="108" t="str">
        <f>IFERROR(__xludf.DUMMYFUNCTION("""COMPUTED_VALUE"""),"Quarto")</f>
        <v>Quarto</v>
      </c>
      <c r="I228" s="108"/>
      <c r="J228" s="108"/>
    </row>
    <row r="229">
      <c r="A229" s="109" t="str">
        <f>IFERROR(__xludf.DUMMYFUNCTION("""COMPUTED_VALUE"""),"5ºPav.-Quarto 503 ( 403 A )")</f>
        <v>5ºPav.-Quarto 503 ( 403 A )</v>
      </c>
      <c r="B229" s="108" t="str">
        <f>IFERROR(__xludf.DUMMYFUNCTION("""COMPUTED_VALUE"""),"5ºPav.")</f>
        <v>5ºPav.</v>
      </c>
      <c r="C229" s="108" t="str">
        <f>IFERROR(__xludf.DUMMYFUNCTION("""COMPUTED_VALUE"""),"Quarto 503 ( 403 A )")</f>
        <v>Quarto 503 ( 403 A )</v>
      </c>
      <c r="D229" s="108" t="str">
        <f>IFERROR(__xludf.DUMMYFUNCTION("""COMPUTED_VALUE"""),"5ºPav.")</f>
        <v>5ºPav.</v>
      </c>
      <c r="E229" s="108" t="str">
        <f>IFERROR(__xludf.DUMMYFUNCTION("""COMPUTED_VALUE"""),"A")</f>
        <v>A</v>
      </c>
      <c r="F229" s="108"/>
      <c r="G229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9552a8517ba14cc7ac8d629714bf94fe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9552a8517ba14cc7ac8d629714bf94fe&amp;showComments=1&amp;guid=6882be48-6626-5238-d3df-94e9f0a0019d</v>
      </c>
      <c r="H229" s="108" t="str">
        <f>IFERROR(__xludf.DUMMYFUNCTION("""COMPUTED_VALUE"""),"Quarto")</f>
        <v>Quarto</v>
      </c>
      <c r="I229" s="108"/>
      <c r="J229" s="108"/>
    </row>
    <row r="230">
      <c r="A230" s="109" t="str">
        <f>IFERROR(__xludf.DUMMYFUNCTION("""COMPUTED_VALUE"""),"5ºPav.-Quarto 504 ( 404 A )")</f>
        <v>5ºPav.-Quarto 504 ( 404 A )</v>
      </c>
      <c r="B230" s="108" t="str">
        <f>IFERROR(__xludf.DUMMYFUNCTION("""COMPUTED_VALUE"""),"5ºPav.")</f>
        <v>5ºPav.</v>
      </c>
      <c r="C230" s="108" t="str">
        <f>IFERROR(__xludf.DUMMYFUNCTION("""COMPUTED_VALUE"""),"Quarto 504 ( 404 A )")</f>
        <v>Quarto 504 ( 404 A )</v>
      </c>
      <c r="D230" s="108" t="str">
        <f>IFERROR(__xludf.DUMMYFUNCTION("""COMPUTED_VALUE"""),"5ºPav.")</f>
        <v>5ºPav.</v>
      </c>
      <c r="E230" s="108" t="str">
        <f>IFERROR(__xludf.DUMMYFUNCTION("""COMPUTED_VALUE"""),"A")</f>
        <v>A</v>
      </c>
      <c r="F230" s="108"/>
      <c r="G230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fd6631bd9bd043f9a4a467de8592660b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fd6631bd9bd043f9a4a467de8592660b&amp;showComments=1&amp;guid=6882be48-6626-5238-d3df-94e9f0a0019d</v>
      </c>
      <c r="H230" s="108" t="str">
        <f>IFERROR(__xludf.DUMMYFUNCTION("""COMPUTED_VALUE"""),"Quarto")</f>
        <v>Quarto</v>
      </c>
      <c r="I230" s="108"/>
      <c r="J230" s="108"/>
    </row>
    <row r="231">
      <c r="A231" s="109" t="str">
        <f>IFERROR(__xludf.DUMMYFUNCTION("""COMPUTED_VALUE"""),"5ºPav.-Quarto 505 ( 405 A )")</f>
        <v>5ºPav.-Quarto 505 ( 405 A )</v>
      </c>
      <c r="B231" s="108" t="str">
        <f>IFERROR(__xludf.DUMMYFUNCTION("""COMPUTED_VALUE"""),"5ºPav.")</f>
        <v>5ºPav.</v>
      </c>
      <c r="C231" s="108" t="str">
        <f>IFERROR(__xludf.DUMMYFUNCTION("""COMPUTED_VALUE"""),"Quarto 505 ( 405 A )")</f>
        <v>Quarto 505 ( 405 A )</v>
      </c>
      <c r="D231" s="108" t="str">
        <f>IFERROR(__xludf.DUMMYFUNCTION("""COMPUTED_VALUE"""),"5ºPav.")</f>
        <v>5ºPav.</v>
      </c>
      <c r="E231" s="108" t="str">
        <f>IFERROR(__xludf.DUMMYFUNCTION("""COMPUTED_VALUE"""),"A")</f>
        <v>A</v>
      </c>
      <c r="F231" s="108"/>
      <c r="G231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9fef6dd7335e4ab883cf83a1e85d9893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9fef6dd7335e4ab883cf83a1e85d9893&amp;showComments=1&amp;guid=6882be48-6626-5238-d3df-94e9f0a0019d</v>
      </c>
      <c r="H231" s="108" t="str">
        <f>IFERROR(__xludf.DUMMYFUNCTION("""COMPUTED_VALUE"""),"Quarto")</f>
        <v>Quarto</v>
      </c>
      <c r="I231" s="108"/>
      <c r="J231" s="108"/>
    </row>
    <row r="232">
      <c r="A232" s="109" t="str">
        <f>IFERROR(__xludf.DUMMYFUNCTION("""COMPUTED_VALUE"""),"5ºPav.-Quarto 506 ( 406 A )")</f>
        <v>5ºPav.-Quarto 506 ( 406 A )</v>
      </c>
      <c r="B232" s="108" t="str">
        <f>IFERROR(__xludf.DUMMYFUNCTION("""COMPUTED_VALUE"""),"5ºPav.")</f>
        <v>5ºPav.</v>
      </c>
      <c r="C232" s="108" t="str">
        <f>IFERROR(__xludf.DUMMYFUNCTION("""COMPUTED_VALUE"""),"Quarto 506 ( 406 A )")</f>
        <v>Quarto 506 ( 406 A )</v>
      </c>
      <c r="D232" s="108" t="str">
        <f>IFERROR(__xludf.DUMMYFUNCTION("""COMPUTED_VALUE"""),"5ºPav.")</f>
        <v>5ºPav.</v>
      </c>
      <c r="E232" s="108" t="str">
        <f>IFERROR(__xludf.DUMMYFUNCTION("""COMPUTED_VALUE"""),"A")</f>
        <v>A</v>
      </c>
      <c r="F232" s="108"/>
      <c r="G232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967472c57d1248088a2c363788f83dc4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967472c57d1248088a2c363788f83dc4&amp;showComments=1&amp;guid=6882be48-6626-5238-d3df-94e9f0a0019d</v>
      </c>
      <c r="H232" s="108" t="str">
        <f>IFERROR(__xludf.DUMMYFUNCTION("""COMPUTED_VALUE"""),"Quarto")</f>
        <v>Quarto</v>
      </c>
      <c r="I232" s="108"/>
      <c r="J232" s="108"/>
    </row>
    <row r="233">
      <c r="A233" s="109" t="str">
        <f>IFERROR(__xludf.DUMMYFUNCTION("""COMPUTED_VALUE"""),"5ºPav.-Quarto 507 ( 407 A )")</f>
        <v>5ºPav.-Quarto 507 ( 407 A )</v>
      </c>
      <c r="B233" s="108" t="str">
        <f>IFERROR(__xludf.DUMMYFUNCTION("""COMPUTED_VALUE"""),"5ºPav.")</f>
        <v>5ºPav.</v>
      </c>
      <c r="C233" s="108" t="str">
        <f>IFERROR(__xludf.DUMMYFUNCTION("""COMPUTED_VALUE"""),"Quarto 507 ( 407 A )")</f>
        <v>Quarto 507 ( 407 A )</v>
      </c>
      <c r="D233" s="108" t="str">
        <f>IFERROR(__xludf.DUMMYFUNCTION("""COMPUTED_VALUE"""),"5ºPav.")</f>
        <v>5ºPav.</v>
      </c>
      <c r="E233" s="108" t="str">
        <f>IFERROR(__xludf.DUMMYFUNCTION("""COMPUTED_VALUE"""),"A")</f>
        <v>A</v>
      </c>
      <c r="F233" s="108"/>
      <c r="G233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b6877c0dd3be49f18833f7414eb7a329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b6877c0dd3be49f18833f7414eb7a329&amp;showComments=1&amp;guid=6882be48-6626-5238-d3df-94e9f0a0019d</v>
      </c>
      <c r="H233" s="108" t="str">
        <f>IFERROR(__xludf.DUMMYFUNCTION("""COMPUTED_VALUE"""),"Quarto")</f>
        <v>Quarto</v>
      </c>
      <c r="I233" s="108"/>
      <c r="J233" s="108"/>
    </row>
    <row r="234">
      <c r="A234" s="109" t="str">
        <f>IFERROR(__xludf.DUMMYFUNCTION("""COMPUTED_VALUE"""),"5ºPav.-Quarto 508 ( 408 A )")</f>
        <v>5ºPav.-Quarto 508 ( 408 A )</v>
      </c>
      <c r="B234" s="108" t="str">
        <f>IFERROR(__xludf.DUMMYFUNCTION("""COMPUTED_VALUE"""),"5ºPav.")</f>
        <v>5ºPav.</v>
      </c>
      <c r="C234" s="108" t="str">
        <f>IFERROR(__xludf.DUMMYFUNCTION("""COMPUTED_VALUE"""),"Quarto 508 ( 408 A )")</f>
        <v>Quarto 508 ( 408 A )</v>
      </c>
      <c r="D234" s="108" t="str">
        <f>IFERROR(__xludf.DUMMYFUNCTION("""COMPUTED_VALUE"""),"5ºPav.")</f>
        <v>5ºPav.</v>
      </c>
      <c r="E234" s="108" t="str">
        <f>IFERROR(__xludf.DUMMYFUNCTION("""COMPUTED_VALUE"""),"A")</f>
        <v>A</v>
      </c>
      <c r="F234" s="108"/>
      <c r="G234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08f01e0defc04a90a750f46dce64c0a5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08f01e0defc04a90a750f46dce64c0a5&amp;showComments=1&amp;guid=6882be48-6626-5238-d3df-94e9f0a0019d</v>
      </c>
      <c r="H234" s="108" t="str">
        <f>IFERROR(__xludf.DUMMYFUNCTION("""COMPUTED_VALUE"""),"Quarto")</f>
        <v>Quarto</v>
      </c>
      <c r="I234" s="108"/>
      <c r="J234" s="108"/>
    </row>
    <row r="235">
      <c r="A235" s="109" t="str">
        <f>IFERROR(__xludf.DUMMYFUNCTION("""COMPUTED_VALUE"""),"5ºPav.-Quarto 509 ( 401 B )")</f>
        <v>5ºPav.-Quarto 509 ( 401 B )</v>
      </c>
      <c r="B235" s="108" t="str">
        <f>IFERROR(__xludf.DUMMYFUNCTION("""COMPUTED_VALUE"""),"5ºPav.")</f>
        <v>5ºPav.</v>
      </c>
      <c r="C235" s="108" t="str">
        <f>IFERROR(__xludf.DUMMYFUNCTION("""COMPUTED_VALUE"""),"Quarto 509 ( 401 B )")</f>
        <v>Quarto 509 ( 401 B )</v>
      </c>
      <c r="D235" s="108" t="str">
        <f>IFERROR(__xludf.DUMMYFUNCTION("""COMPUTED_VALUE"""),"5ºPav.")</f>
        <v>5ºPav.</v>
      </c>
      <c r="E235" s="108" t="str">
        <f>IFERROR(__xludf.DUMMYFUNCTION("""COMPUTED_VALUE"""),"A")</f>
        <v>A</v>
      </c>
      <c r="F235" s="108"/>
      <c r="G235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65552ea660674ae29f3caea6189148ca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65552ea660674ae29f3caea6189148ca&amp;showComments=1&amp;guid=6882be48-6626-5238-d3df-94e9f0a0019d</v>
      </c>
      <c r="H235" s="108" t="str">
        <f>IFERROR(__xludf.DUMMYFUNCTION("""COMPUTED_VALUE"""),"Quarto")</f>
        <v>Quarto</v>
      </c>
      <c r="I235" s="108"/>
      <c r="J235" s="108"/>
    </row>
    <row r="236">
      <c r="A236" s="109" t="str">
        <f>IFERROR(__xludf.DUMMYFUNCTION("""COMPUTED_VALUE"""),"5ºPav.-Quarto 510 ( 402 B )")</f>
        <v>5ºPav.-Quarto 510 ( 402 B )</v>
      </c>
      <c r="B236" s="108" t="str">
        <f>IFERROR(__xludf.DUMMYFUNCTION("""COMPUTED_VALUE"""),"5ºPav.")</f>
        <v>5ºPav.</v>
      </c>
      <c r="C236" s="108" t="str">
        <f>IFERROR(__xludf.DUMMYFUNCTION("""COMPUTED_VALUE"""),"Quarto 510 ( 402 B )")</f>
        <v>Quarto 510 ( 402 B )</v>
      </c>
      <c r="D236" s="108" t="str">
        <f>IFERROR(__xludf.DUMMYFUNCTION("""COMPUTED_VALUE"""),"5ºPav.")</f>
        <v>5ºPav.</v>
      </c>
      <c r="E236" s="108" t="str">
        <f>IFERROR(__xludf.DUMMYFUNCTION("""COMPUTED_VALUE"""),"A")</f>
        <v>A</v>
      </c>
      <c r="F236" s="108"/>
      <c r="G236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9fa2de6bba084d4da262a794af1af8d5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9fa2de6bba084d4da262a794af1af8d5&amp;showComments=1&amp;guid=6882be48-6626-5238-d3df-94e9f0a0019d</v>
      </c>
      <c r="H236" s="108" t="str">
        <f>IFERROR(__xludf.DUMMYFUNCTION("""COMPUTED_VALUE"""),"Quarto")</f>
        <v>Quarto</v>
      </c>
      <c r="I236" s="108"/>
      <c r="J236" s="108"/>
    </row>
    <row r="237">
      <c r="A237" s="109" t="str">
        <f>IFERROR(__xludf.DUMMYFUNCTION("""COMPUTED_VALUE"""),"5ºPav.-Quarto 511 ( 403 B )")</f>
        <v>5ºPav.-Quarto 511 ( 403 B )</v>
      </c>
      <c r="B237" s="108" t="str">
        <f>IFERROR(__xludf.DUMMYFUNCTION("""COMPUTED_VALUE"""),"5ºPav.")</f>
        <v>5ºPav.</v>
      </c>
      <c r="C237" s="108" t="str">
        <f>IFERROR(__xludf.DUMMYFUNCTION("""COMPUTED_VALUE"""),"Quarto 511 ( 403 B )")</f>
        <v>Quarto 511 ( 403 B )</v>
      </c>
      <c r="D237" s="108" t="str">
        <f>IFERROR(__xludf.DUMMYFUNCTION("""COMPUTED_VALUE"""),"5ºPav.")</f>
        <v>5ºPav.</v>
      </c>
      <c r="E237" s="108" t="str">
        <f>IFERROR(__xludf.DUMMYFUNCTION("""COMPUTED_VALUE"""),"A")</f>
        <v>A</v>
      </c>
      <c r="F237" s="108"/>
      <c r="G237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a412797dd6e34060a1fec6b77a8c6e03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a412797dd6e34060a1fec6b77a8c6e03&amp;showComments=1&amp;guid=6882be48-6626-5238-d3df-94e9f0a0019d</v>
      </c>
      <c r="H237" s="108" t="str">
        <f>IFERROR(__xludf.DUMMYFUNCTION("""COMPUTED_VALUE"""),"Quarto")</f>
        <v>Quarto</v>
      </c>
      <c r="I237" s="108"/>
      <c r="J237" s="108"/>
    </row>
    <row r="238">
      <c r="A238" s="109" t="str">
        <f>IFERROR(__xludf.DUMMYFUNCTION("""COMPUTED_VALUE"""),"5ºPav.-Quarto 512 ( 404 B )")</f>
        <v>5ºPav.-Quarto 512 ( 404 B )</v>
      </c>
      <c r="B238" s="108" t="str">
        <f>IFERROR(__xludf.DUMMYFUNCTION("""COMPUTED_VALUE"""),"5ºPav.")</f>
        <v>5ºPav.</v>
      </c>
      <c r="C238" s="108" t="str">
        <f>IFERROR(__xludf.DUMMYFUNCTION("""COMPUTED_VALUE"""),"Quarto 512 ( 404 B )")</f>
        <v>Quarto 512 ( 404 B )</v>
      </c>
      <c r="D238" s="108" t="str">
        <f>IFERROR(__xludf.DUMMYFUNCTION("""COMPUTED_VALUE"""),"5ºPav.")</f>
        <v>5ºPav.</v>
      </c>
      <c r="E238" s="108" t="str">
        <f>IFERROR(__xludf.DUMMYFUNCTION("""COMPUTED_VALUE"""),"A")</f>
        <v>A</v>
      </c>
      <c r="F238" s="108"/>
      <c r="G238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85b7f9c998834ed28a2861069781f3ae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85b7f9c998834ed28a2861069781f3ae&amp;showComments=1&amp;guid=6882be48-6626-5238-d3df-94e9f0a0019d</v>
      </c>
      <c r="H238" s="108" t="str">
        <f>IFERROR(__xludf.DUMMYFUNCTION("""COMPUTED_VALUE"""),"Quarto")</f>
        <v>Quarto</v>
      </c>
      <c r="I238" s="108"/>
      <c r="J238" s="108"/>
    </row>
    <row r="239">
      <c r="A239" s="109" t="str">
        <f>IFERROR(__xludf.DUMMYFUNCTION("""COMPUTED_VALUE"""),"5ºPav.-Quarto 513 ( 405 B )")</f>
        <v>5ºPav.-Quarto 513 ( 405 B )</v>
      </c>
      <c r="B239" s="108" t="str">
        <f>IFERROR(__xludf.DUMMYFUNCTION("""COMPUTED_VALUE"""),"5ºPav.")</f>
        <v>5ºPav.</v>
      </c>
      <c r="C239" s="108" t="str">
        <f>IFERROR(__xludf.DUMMYFUNCTION("""COMPUTED_VALUE"""),"Quarto 513 ( 405 B )")</f>
        <v>Quarto 513 ( 405 B )</v>
      </c>
      <c r="D239" s="108" t="str">
        <f>IFERROR(__xludf.DUMMYFUNCTION("""COMPUTED_VALUE"""),"5ºPav.")</f>
        <v>5ºPav.</v>
      </c>
      <c r="E239" s="108" t="str">
        <f>IFERROR(__xludf.DUMMYFUNCTION("""COMPUTED_VALUE"""),"A")</f>
        <v>A</v>
      </c>
      <c r="F239" s="108"/>
      <c r="G239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a43d8b4132f84e6e8674bb42eecbc090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a43d8b4132f84e6e8674bb42eecbc090&amp;showComments=1&amp;guid=6882be48-6626-5238-d3df-94e9f0a0019d</v>
      </c>
      <c r="H239" s="108" t="str">
        <f>IFERROR(__xludf.DUMMYFUNCTION("""COMPUTED_VALUE"""),"Quarto")</f>
        <v>Quarto</v>
      </c>
      <c r="I239" s="108"/>
      <c r="J239" s="108"/>
    </row>
    <row r="240">
      <c r="A240" s="109" t="str">
        <f>IFERROR(__xludf.DUMMYFUNCTION("""COMPUTED_VALUE"""),"5ºPav.-Quarto 514 ( 406 B )")</f>
        <v>5ºPav.-Quarto 514 ( 406 B )</v>
      </c>
      <c r="B240" s="108" t="str">
        <f>IFERROR(__xludf.DUMMYFUNCTION("""COMPUTED_VALUE"""),"5ºPav.")</f>
        <v>5ºPav.</v>
      </c>
      <c r="C240" s="108" t="str">
        <f>IFERROR(__xludf.DUMMYFUNCTION("""COMPUTED_VALUE"""),"Quarto 514 ( 406 B )")</f>
        <v>Quarto 514 ( 406 B )</v>
      </c>
      <c r="D240" s="108" t="str">
        <f>IFERROR(__xludf.DUMMYFUNCTION("""COMPUTED_VALUE"""),"5ºPav.")</f>
        <v>5ºPav.</v>
      </c>
      <c r="E240" s="108" t="str">
        <f>IFERROR(__xludf.DUMMYFUNCTION("""COMPUTED_VALUE"""),"A")</f>
        <v>A</v>
      </c>
      <c r="F240" s="108"/>
      <c r="G240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c78360283a224c57b7b364386360eb7f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c78360283a224c57b7b364386360eb7f&amp;showComments=1&amp;guid=6882be48-6626-5238-d3df-94e9f0a0019d</v>
      </c>
      <c r="H240" s="108" t="str">
        <f>IFERROR(__xludf.DUMMYFUNCTION("""COMPUTED_VALUE"""),"Quarto")</f>
        <v>Quarto</v>
      </c>
      <c r="I240" s="108"/>
      <c r="J240" s="108"/>
    </row>
    <row r="241">
      <c r="A241" s="109" t="str">
        <f>IFERROR(__xludf.DUMMYFUNCTION("""COMPUTED_VALUE"""),"5ºPav.-Quarto 515 ( 407 B )")</f>
        <v>5ºPav.-Quarto 515 ( 407 B )</v>
      </c>
      <c r="B241" s="108" t="str">
        <f>IFERROR(__xludf.DUMMYFUNCTION("""COMPUTED_VALUE"""),"5ºPav.")</f>
        <v>5ºPav.</v>
      </c>
      <c r="C241" s="108" t="str">
        <f>IFERROR(__xludf.DUMMYFUNCTION("""COMPUTED_VALUE"""),"Quarto 515 ( 407 B )")</f>
        <v>Quarto 515 ( 407 B )</v>
      </c>
      <c r="D241" s="108" t="str">
        <f>IFERROR(__xludf.DUMMYFUNCTION("""COMPUTED_VALUE"""),"5ºPav.")</f>
        <v>5ºPav.</v>
      </c>
      <c r="E241" s="108" t="str">
        <f>IFERROR(__xludf.DUMMYFUNCTION("""COMPUTED_VALUE"""),"A")</f>
        <v>A</v>
      </c>
      <c r="F241" s="108"/>
      <c r="G241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bec619f76f2843b9b26030b4a278e2fb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bec619f76f2843b9b26030b4a278e2fb&amp;showComments=1&amp;guid=6882be48-6626-5238-d3df-94e9f0a0019d</v>
      </c>
      <c r="H241" s="108" t="str">
        <f>IFERROR(__xludf.DUMMYFUNCTION("""COMPUTED_VALUE"""),"Quarto")</f>
        <v>Quarto</v>
      </c>
      <c r="I241" s="108"/>
      <c r="J241" s="108"/>
    </row>
    <row r="242">
      <c r="A242" s="109" t="str">
        <f>IFERROR(__xludf.DUMMYFUNCTION("""COMPUTED_VALUE"""),"5ºPav.-Quarto 516 ( 408 B )")</f>
        <v>5ºPav.-Quarto 516 ( 408 B )</v>
      </c>
      <c r="B242" s="108" t="str">
        <f>IFERROR(__xludf.DUMMYFUNCTION("""COMPUTED_VALUE"""),"5ºPav.")</f>
        <v>5ºPav.</v>
      </c>
      <c r="C242" s="108" t="str">
        <f>IFERROR(__xludf.DUMMYFUNCTION("""COMPUTED_VALUE"""),"Quarto 516 ( 408 B )")</f>
        <v>Quarto 516 ( 408 B )</v>
      </c>
      <c r="D242" s="108" t="str">
        <f>IFERROR(__xludf.DUMMYFUNCTION("""COMPUTED_VALUE"""),"5ºPav.")</f>
        <v>5ºPav.</v>
      </c>
      <c r="E242" s="108" t="str">
        <f>IFERROR(__xludf.DUMMYFUNCTION("""COMPUTED_VALUE"""),"A")</f>
        <v>A</v>
      </c>
      <c r="F242" s="108"/>
      <c r="G242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8260da1d38a046ecb385fa4ec6bb41bd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8260da1d38a046ecb385fa4ec6bb41bd&amp;showComments=1&amp;guid=6882be48-6626-5238-d3df-94e9f0a0019d</v>
      </c>
      <c r="H242" s="108" t="str">
        <f>IFERROR(__xludf.DUMMYFUNCTION("""COMPUTED_VALUE"""),"Quarto")</f>
        <v>Quarto</v>
      </c>
      <c r="I242" s="108"/>
      <c r="J242" s="108"/>
    </row>
    <row r="243">
      <c r="A243" s="109" t="str">
        <f>IFERROR(__xludf.DUMMYFUNCTION("""COMPUTED_VALUE"""),"5ºPav.-Quarto 517 ( 409 B )")</f>
        <v>5ºPav.-Quarto 517 ( 409 B )</v>
      </c>
      <c r="B243" s="108" t="str">
        <f>IFERROR(__xludf.DUMMYFUNCTION("""COMPUTED_VALUE"""),"5ºPav.")</f>
        <v>5ºPav.</v>
      </c>
      <c r="C243" s="108" t="str">
        <f>IFERROR(__xludf.DUMMYFUNCTION("""COMPUTED_VALUE"""),"Quarto 517 ( 409 B )")</f>
        <v>Quarto 517 ( 409 B )</v>
      </c>
      <c r="D243" s="108" t="str">
        <f>IFERROR(__xludf.DUMMYFUNCTION("""COMPUTED_VALUE"""),"5ºPav.")</f>
        <v>5ºPav.</v>
      </c>
      <c r="E243" s="108" t="str">
        <f>IFERROR(__xludf.DUMMYFUNCTION("""COMPUTED_VALUE"""),"A")</f>
        <v>A</v>
      </c>
      <c r="F243" s="108"/>
      <c r="G243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6deb1049573541f78f19229389a54d27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6deb1049573541f78f19229389a54d27&amp;showComments=1&amp;guid=6882be48-6626-5238-d3df-94e9f0a0019d</v>
      </c>
      <c r="H243" s="108" t="str">
        <f>IFERROR(__xludf.DUMMYFUNCTION("""COMPUTED_VALUE"""),"Quarto")</f>
        <v>Quarto</v>
      </c>
      <c r="I243" s="108"/>
      <c r="J243" s="108"/>
    </row>
    <row r="244">
      <c r="A244" s="109" t="str">
        <f>IFERROR(__xludf.DUMMYFUNCTION("""COMPUTED_VALUE"""),"5ºPav.-Quarto 518 ( 410 B )")</f>
        <v>5ºPav.-Quarto 518 ( 410 B )</v>
      </c>
      <c r="B244" s="108" t="str">
        <f>IFERROR(__xludf.DUMMYFUNCTION("""COMPUTED_VALUE"""),"5ºPav.")</f>
        <v>5ºPav.</v>
      </c>
      <c r="C244" s="108" t="str">
        <f>IFERROR(__xludf.DUMMYFUNCTION("""COMPUTED_VALUE"""),"Quarto 518 ( 410 B )")</f>
        <v>Quarto 518 ( 410 B )</v>
      </c>
      <c r="D244" s="108" t="str">
        <f>IFERROR(__xludf.DUMMYFUNCTION("""COMPUTED_VALUE"""),"5ºPav.")</f>
        <v>5ºPav.</v>
      </c>
      <c r="E244" s="108" t="str">
        <f>IFERROR(__xludf.DUMMYFUNCTION("""COMPUTED_VALUE"""),"A")</f>
        <v>A</v>
      </c>
      <c r="F244" s="108"/>
      <c r="G244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6a31d731604d4d2692678626b4dc66c7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6a31d731604d4d2692678626b4dc66c7&amp;showComments=1&amp;guid=6882be48-6626-5238-d3df-94e9f0a0019d</v>
      </c>
      <c r="H244" s="108" t="str">
        <f>IFERROR(__xludf.DUMMYFUNCTION("""COMPUTED_VALUE"""),"Quarto")</f>
        <v>Quarto</v>
      </c>
      <c r="I244" s="108"/>
      <c r="J244" s="108"/>
    </row>
    <row r="245">
      <c r="A245" s="109" t="str">
        <f>IFERROR(__xludf.DUMMYFUNCTION("""COMPUTED_VALUE"""),"5ºPav.-Quarto 519 ( 411 B )")</f>
        <v>5ºPav.-Quarto 519 ( 411 B )</v>
      </c>
      <c r="B245" s="108" t="str">
        <f>IFERROR(__xludf.DUMMYFUNCTION("""COMPUTED_VALUE"""),"5ºPav.")</f>
        <v>5ºPav.</v>
      </c>
      <c r="C245" s="108" t="str">
        <f>IFERROR(__xludf.DUMMYFUNCTION("""COMPUTED_VALUE"""),"Quarto 519 ( 411 B )")</f>
        <v>Quarto 519 ( 411 B )</v>
      </c>
      <c r="D245" s="108" t="str">
        <f>IFERROR(__xludf.DUMMYFUNCTION("""COMPUTED_VALUE"""),"5ºPav.")</f>
        <v>5ºPav.</v>
      </c>
      <c r="E245" s="108" t="str">
        <f>IFERROR(__xludf.DUMMYFUNCTION("""COMPUTED_VALUE"""),"A")</f>
        <v>A</v>
      </c>
      <c r="F245" s="108"/>
      <c r="G245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9e64131853f14a89b4f3ff02e87a99a0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9e64131853f14a89b4f3ff02e87a99a0&amp;showComments=1&amp;guid=6882be48-6626-5238-d3df-94e9f0a0019d</v>
      </c>
      <c r="H245" s="108" t="str">
        <f>IFERROR(__xludf.DUMMYFUNCTION("""COMPUTED_VALUE"""),"Quarto")</f>
        <v>Quarto</v>
      </c>
      <c r="I245" s="108"/>
      <c r="J245" s="108"/>
    </row>
    <row r="246">
      <c r="A246" s="109" t="str">
        <f>IFERROR(__xludf.DUMMYFUNCTION("""COMPUTED_VALUE"""),"5ºPav.-Quarto 520 ( 412 B )")</f>
        <v>5ºPav.-Quarto 520 ( 412 B )</v>
      </c>
      <c r="B246" s="108" t="str">
        <f>IFERROR(__xludf.DUMMYFUNCTION("""COMPUTED_VALUE"""),"5ºPav.")</f>
        <v>5ºPav.</v>
      </c>
      <c r="C246" s="108" t="str">
        <f>IFERROR(__xludf.DUMMYFUNCTION("""COMPUTED_VALUE"""),"Quarto 520 ( 412 B )")</f>
        <v>Quarto 520 ( 412 B )</v>
      </c>
      <c r="D246" s="108" t="str">
        <f>IFERROR(__xludf.DUMMYFUNCTION("""COMPUTED_VALUE"""),"5ºPav.")</f>
        <v>5ºPav.</v>
      </c>
      <c r="E246" s="108" t="str">
        <f>IFERROR(__xludf.DUMMYFUNCTION("""COMPUTED_VALUE"""),"A")</f>
        <v>A</v>
      </c>
      <c r="F246" s="108"/>
      <c r="G246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c1e3432e1b6b44378d106a4e1937682b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c1e3432e1b6b44378d106a4e1937682b&amp;showComments=1&amp;guid=6882be48-6626-5238-d3df-94e9f0a0019d</v>
      </c>
      <c r="H246" s="108" t="str">
        <f>IFERROR(__xludf.DUMMYFUNCTION("""COMPUTED_VALUE"""),"Quarto")</f>
        <v>Quarto</v>
      </c>
      <c r="I246" s="108"/>
      <c r="J246" s="108"/>
    </row>
    <row r="247">
      <c r="A247" s="109" t="str">
        <f>IFERROR(__xludf.DUMMYFUNCTION("""COMPUTED_VALUE"""),"5ºPav.-Quarto 521 ( 409 A )")</f>
        <v>5ºPav.-Quarto 521 ( 409 A )</v>
      </c>
      <c r="B247" s="108" t="str">
        <f>IFERROR(__xludf.DUMMYFUNCTION("""COMPUTED_VALUE"""),"5ºPav.")</f>
        <v>5ºPav.</v>
      </c>
      <c r="C247" s="108" t="str">
        <f>IFERROR(__xludf.DUMMYFUNCTION("""COMPUTED_VALUE"""),"Quarto 521 ( 409 A )")</f>
        <v>Quarto 521 ( 409 A )</v>
      </c>
      <c r="D247" s="108" t="str">
        <f>IFERROR(__xludf.DUMMYFUNCTION("""COMPUTED_VALUE"""),"5ºPav.")</f>
        <v>5ºPav.</v>
      </c>
      <c r="E247" s="108" t="str">
        <f>IFERROR(__xludf.DUMMYFUNCTION("""COMPUTED_VALUE"""),"A")</f>
        <v>A</v>
      </c>
      <c r="F247" s="108"/>
      <c r="G247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10c358d4593b4f21911fd8f34a6eb6bb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10c358d4593b4f21911fd8f34a6eb6bb&amp;showComments=1&amp;guid=6882be48-6626-5238-d3df-94e9f0a0019d</v>
      </c>
      <c r="H247" s="108" t="str">
        <f>IFERROR(__xludf.DUMMYFUNCTION("""COMPUTED_VALUE"""),"Quarto")</f>
        <v>Quarto</v>
      </c>
      <c r="I247" s="108"/>
      <c r="J247" s="108"/>
    </row>
    <row r="248">
      <c r="A248" s="109" t="str">
        <f>IFERROR(__xludf.DUMMYFUNCTION("""COMPUTED_VALUE"""),"5ºPav.-Quarto 522 ( 410 A )")</f>
        <v>5ºPav.-Quarto 522 ( 410 A )</v>
      </c>
      <c r="B248" s="108" t="str">
        <f>IFERROR(__xludf.DUMMYFUNCTION("""COMPUTED_VALUE"""),"5ºPav.")</f>
        <v>5ºPav.</v>
      </c>
      <c r="C248" s="108" t="str">
        <f>IFERROR(__xludf.DUMMYFUNCTION("""COMPUTED_VALUE"""),"Quarto 522 ( 410 A )")</f>
        <v>Quarto 522 ( 410 A )</v>
      </c>
      <c r="D248" s="108" t="str">
        <f>IFERROR(__xludf.DUMMYFUNCTION("""COMPUTED_VALUE"""),"5ºPav.")</f>
        <v>5ºPav.</v>
      </c>
      <c r="E248" s="108" t="str">
        <f>IFERROR(__xludf.DUMMYFUNCTION("""COMPUTED_VALUE"""),"A")</f>
        <v>A</v>
      </c>
      <c r="F248" s="108"/>
      <c r="G248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7c3bf6a58db14bbf98bcd43fee71762c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7c3bf6a58db14bbf98bcd43fee71762c&amp;showComments=1&amp;guid=6882be48-6626-5238-d3df-94e9f0a0019d</v>
      </c>
      <c r="H248" s="108" t="str">
        <f>IFERROR(__xludf.DUMMYFUNCTION("""COMPUTED_VALUE"""),"Quarto")</f>
        <v>Quarto</v>
      </c>
      <c r="I248" s="108"/>
      <c r="J248" s="108"/>
    </row>
    <row r="249">
      <c r="A249" s="109" t="str">
        <f>IFERROR(__xludf.DUMMYFUNCTION("""COMPUTED_VALUE"""),"5ºPav.-Quarto 523 ( 411 A )")</f>
        <v>5ºPav.-Quarto 523 ( 411 A )</v>
      </c>
      <c r="B249" s="108" t="str">
        <f>IFERROR(__xludf.DUMMYFUNCTION("""COMPUTED_VALUE"""),"5ºPav.")</f>
        <v>5ºPav.</v>
      </c>
      <c r="C249" s="108" t="str">
        <f>IFERROR(__xludf.DUMMYFUNCTION("""COMPUTED_VALUE"""),"Quarto 523 ( 411 A )")</f>
        <v>Quarto 523 ( 411 A )</v>
      </c>
      <c r="D249" s="108" t="str">
        <f>IFERROR(__xludf.DUMMYFUNCTION("""COMPUTED_VALUE"""),"5ºPav.")</f>
        <v>5ºPav.</v>
      </c>
      <c r="E249" s="108" t="str">
        <f>IFERROR(__xludf.DUMMYFUNCTION("""COMPUTED_VALUE"""),"A")</f>
        <v>A</v>
      </c>
      <c r="F249" s="108"/>
      <c r="G249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02e6fe79c2c24a3e95a043b6b9970a4c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02e6fe79c2c24a3e95a043b6b9970a4c&amp;showComments=1&amp;guid=6882be48-6626-5238-d3df-94e9f0a0019d</v>
      </c>
      <c r="H249" s="108" t="str">
        <f>IFERROR(__xludf.DUMMYFUNCTION("""COMPUTED_VALUE"""),"Quarto")</f>
        <v>Quarto</v>
      </c>
      <c r="I249" s="108"/>
      <c r="J249" s="108"/>
    </row>
    <row r="250">
      <c r="A250" s="109" t="str">
        <f>IFERROR(__xludf.DUMMYFUNCTION("""COMPUTED_VALUE"""),"5ºPav.-Rouparia Setor A")</f>
        <v>5ºPav.-Rouparia Setor A</v>
      </c>
      <c r="B250" s="108" t="str">
        <f>IFERROR(__xludf.DUMMYFUNCTION("""COMPUTED_VALUE"""),"5ºPav.")</f>
        <v>5ºPav.</v>
      </c>
      <c r="C250" s="108" t="str">
        <f>IFERROR(__xludf.DUMMYFUNCTION("""COMPUTED_VALUE"""),"Rouparia Setor A")</f>
        <v>Rouparia Setor A</v>
      </c>
      <c r="D250" s="108" t="str">
        <f>IFERROR(__xludf.DUMMYFUNCTION("""COMPUTED_VALUE"""),"5ºPav.")</f>
        <v>5ºPav.</v>
      </c>
      <c r="E250" s="108" t="str">
        <f>IFERROR(__xludf.DUMMYFUNCTION("""COMPUTED_VALUE"""),"A")</f>
        <v>A</v>
      </c>
      <c r="F250" s="108">
        <f>IFERROR(__xludf.DUMMYFUNCTION("""COMPUTED_VALUE"""),34.0)</f>
        <v>34</v>
      </c>
      <c r="G250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ea94caeacaf84397be1fa5878e4c5e7b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ea94caeacaf84397be1fa5878e4c5e7b&amp;showComments=1&amp;guid=6882be48-6626-5238-d3df-94e9f0a0019d</v>
      </c>
      <c r="H250" s="108" t="str">
        <f>IFERROR(__xludf.DUMMYFUNCTION("""COMPUTED_VALUE"""),"Posto Enfermagem")</f>
        <v>Posto Enfermagem</v>
      </c>
      <c r="I250" s="108"/>
      <c r="J250" s="108"/>
    </row>
    <row r="251">
      <c r="A251" s="109" t="str">
        <f>IFERROR(__xludf.DUMMYFUNCTION("""COMPUTED_VALUE"""),"5ºPav.-Rouparia Setor B")</f>
        <v>5ºPav.-Rouparia Setor B</v>
      </c>
      <c r="B251" s="108" t="str">
        <f>IFERROR(__xludf.DUMMYFUNCTION("""COMPUTED_VALUE"""),"5ºPav.")</f>
        <v>5ºPav.</v>
      </c>
      <c r="C251" s="108" t="str">
        <f>IFERROR(__xludf.DUMMYFUNCTION("""COMPUTED_VALUE"""),"Rouparia Setor B")</f>
        <v>Rouparia Setor B</v>
      </c>
      <c r="D251" s="108" t="str">
        <f>IFERROR(__xludf.DUMMYFUNCTION("""COMPUTED_VALUE"""),"5ºPav.")</f>
        <v>5ºPav.</v>
      </c>
      <c r="E251" s="108" t="str">
        <f>IFERROR(__xludf.DUMMYFUNCTION("""COMPUTED_VALUE"""),"B")</f>
        <v>B</v>
      </c>
      <c r="F251" s="108">
        <f>IFERROR(__xludf.DUMMYFUNCTION("""COMPUTED_VALUE"""),32.0)</f>
        <v>32</v>
      </c>
      <c r="G251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adcae10675ad4c6e8748aa8870a7b239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adcae10675ad4c6e8748aa8870a7b239&amp;showComments=1&amp;guid=6882be48-6626-5238-d3df-94e9f0a0019d</v>
      </c>
      <c r="H251" s="108" t="str">
        <f>IFERROR(__xludf.DUMMYFUNCTION("""COMPUTED_VALUE"""),"Posto Enfermagem")</f>
        <v>Posto Enfermagem</v>
      </c>
      <c r="I251" s="108"/>
      <c r="J251" s="108"/>
    </row>
    <row r="252">
      <c r="A252" s="109" t="str">
        <f>IFERROR(__xludf.DUMMYFUNCTION("""COMPUTED_VALUE"""),"5ºPav.-Sala Ar Condicionado - CM5.1")</f>
        <v>5ºPav.-Sala Ar Condicionado - CM5.1</v>
      </c>
      <c r="B252" s="108" t="str">
        <f>IFERROR(__xludf.DUMMYFUNCTION("""COMPUTED_VALUE"""),"5ºPav.")</f>
        <v>5ºPav.</v>
      </c>
      <c r="C252" s="108" t="str">
        <f>IFERROR(__xludf.DUMMYFUNCTION("""COMPUTED_VALUE"""),"Sala Ar Condicionado - CM5.1")</f>
        <v>Sala Ar Condicionado - CM5.1</v>
      </c>
      <c r="D252" s="108" t="str">
        <f>IFERROR(__xludf.DUMMYFUNCTION("""COMPUTED_VALUE"""),"5ºPav.")</f>
        <v>5ºPav.</v>
      </c>
      <c r="E252" s="108" t="str">
        <f>IFERROR(__xludf.DUMMYFUNCTION("""COMPUTED_VALUE"""),"A")</f>
        <v>A</v>
      </c>
      <c r="F252" s="108">
        <f>IFERROR(__xludf.DUMMYFUNCTION("""COMPUTED_VALUE"""),41.0)</f>
        <v>41</v>
      </c>
      <c r="G252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a198c76749ec4cde9ab8445cc3a5abb3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a198c76749ec4cde9ab8445cc3a5abb3&amp;showComments=1&amp;guid=6882be48-6626-5238-d3df-94e9f0a0019d</v>
      </c>
      <c r="H252" s="108" t="str">
        <f>IFERROR(__xludf.DUMMYFUNCTION("""COMPUTED_VALUE"""),"Sala Máquina")</f>
        <v>Sala Máquina</v>
      </c>
      <c r="I252" s="109" t="str">
        <f>IFERROR(__xludf.DUMMYFUNCTION("""COMPUTED_VALUE"""),"https://photos.google.com/search/5%C2%BAPav.-Sala%20Ar%20Condicionado%20-%20CM5.1")</f>
        <v>https://photos.google.com/search/5%C2%BAPav.-Sala%20Ar%20Condicionado%20-%20CM5.1</v>
      </c>
      <c r="J252" s="108"/>
    </row>
    <row r="253">
      <c r="A253" s="109" t="str">
        <f>IFERROR(__xludf.DUMMYFUNCTION("""COMPUTED_VALUE"""),"5ºPav.-Sala Conforto Acompanhantes")</f>
        <v>5ºPav.-Sala Conforto Acompanhantes</v>
      </c>
      <c r="B253" s="108" t="str">
        <f>IFERROR(__xludf.DUMMYFUNCTION("""COMPUTED_VALUE"""),"5ºPav.")</f>
        <v>5ºPav.</v>
      </c>
      <c r="C253" s="108" t="str">
        <f>IFERROR(__xludf.DUMMYFUNCTION("""COMPUTED_VALUE"""),"Sala Conforto Acompanhantes")</f>
        <v>Sala Conforto Acompanhantes</v>
      </c>
      <c r="D253" s="108" t="str">
        <f>IFERROR(__xludf.DUMMYFUNCTION("""COMPUTED_VALUE"""),"5ºPav.")</f>
        <v>5ºPav.</v>
      </c>
      <c r="E253" s="108" t="str">
        <f>IFERROR(__xludf.DUMMYFUNCTION("""COMPUTED_VALUE"""),"A")</f>
        <v>A</v>
      </c>
      <c r="F253" s="108"/>
      <c r="G253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3dbf4b3eee904d4187c008522a9f57b0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3dbf4b3eee904d4187c008522a9f57b0&amp;showComments=1&amp;guid=6882be48-6626-5238-d3df-94e9f0a0019d</v>
      </c>
      <c r="H253" s="108" t="str">
        <f>IFERROR(__xludf.DUMMYFUNCTION("""COMPUTED_VALUE"""),"Outros")</f>
        <v>Outros</v>
      </c>
      <c r="I253" s="108"/>
      <c r="J253" s="108"/>
    </row>
    <row r="254">
      <c r="A254" s="109" t="str">
        <f>IFERROR(__xludf.DUMMYFUNCTION("""COMPUTED_VALUE"""),"5ºPav.-Sala de Duto - CM5.2")</f>
        <v>5ºPav.-Sala de Duto - CM5.2</v>
      </c>
      <c r="B254" s="108" t="str">
        <f>IFERROR(__xludf.DUMMYFUNCTION("""COMPUTED_VALUE"""),"5ºPav.")</f>
        <v>5ºPav.</v>
      </c>
      <c r="C254" s="108" t="str">
        <f>IFERROR(__xludf.DUMMYFUNCTION("""COMPUTED_VALUE"""),"Sala de Duto - CM5.2")</f>
        <v>Sala de Duto - CM5.2</v>
      </c>
      <c r="D254" s="108" t="str">
        <f>IFERROR(__xludf.DUMMYFUNCTION("""COMPUTED_VALUE"""),"5ºPav.")</f>
        <v>5ºPav.</v>
      </c>
      <c r="E254" s="108" t="str">
        <f>IFERROR(__xludf.DUMMYFUNCTION("""COMPUTED_VALUE"""),"B")</f>
        <v>B</v>
      </c>
      <c r="F254" s="108"/>
      <c r="G254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f30145ebe3c04163ae14eca430828621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f30145ebe3c04163ae14eca430828621&amp;showComments=1&amp;guid=6882be48-6626-5238-d3df-94e9f0a0019d</v>
      </c>
      <c r="H254" s="108" t="str">
        <f>IFERROR(__xludf.DUMMYFUNCTION("""COMPUTED_VALUE"""),"Sala Máquina")</f>
        <v>Sala Máquina</v>
      </c>
      <c r="I254" s="108"/>
      <c r="J254" s="108"/>
    </row>
    <row r="255">
      <c r="A255" s="109" t="str">
        <f>IFERROR(__xludf.DUMMYFUNCTION("""COMPUTED_VALUE"""),"5ºPav.-Sala de Entrevista")</f>
        <v>5ºPav.-Sala de Entrevista</v>
      </c>
      <c r="B255" s="108" t="str">
        <f>IFERROR(__xludf.DUMMYFUNCTION("""COMPUTED_VALUE"""),"5ºPav.")</f>
        <v>5ºPav.</v>
      </c>
      <c r="C255" s="108" t="str">
        <f>IFERROR(__xludf.DUMMYFUNCTION("""COMPUTED_VALUE"""),"Sala de Entrevista")</f>
        <v>Sala de Entrevista</v>
      </c>
      <c r="D255" s="108" t="str">
        <f>IFERROR(__xludf.DUMMYFUNCTION("""COMPUTED_VALUE"""),"5ºPav.")</f>
        <v>5ºPav.</v>
      </c>
      <c r="E255" s="108" t="str">
        <f>IFERROR(__xludf.DUMMYFUNCTION("""COMPUTED_VALUE"""),"A")</f>
        <v>A</v>
      </c>
      <c r="F255" s="108"/>
      <c r="G255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6a4dad585143438dace390c73c781a60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6a4dad585143438dace390c73c781a60&amp;showComments=1&amp;guid=6882be48-6626-5238-d3df-94e9f0a0019d</v>
      </c>
      <c r="H255" s="108" t="str">
        <f>IFERROR(__xludf.DUMMYFUNCTION("""COMPUTED_VALUE"""),"Outros")</f>
        <v>Outros</v>
      </c>
      <c r="I255" s="108"/>
      <c r="J255" s="108"/>
    </row>
    <row r="256">
      <c r="A256" s="109" t="str">
        <f>IFERROR(__xludf.DUMMYFUNCTION("""COMPUTED_VALUE"""),"5ºPav.-Sala de Exames e Curativos")</f>
        <v>5ºPav.-Sala de Exames e Curativos</v>
      </c>
      <c r="B256" s="108" t="str">
        <f>IFERROR(__xludf.DUMMYFUNCTION("""COMPUTED_VALUE"""),"5ºPav.")</f>
        <v>5ºPav.</v>
      </c>
      <c r="C256" s="108" t="str">
        <f>IFERROR(__xludf.DUMMYFUNCTION("""COMPUTED_VALUE"""),"Sala de Exames e Curativos")</f>
        <v>Sala de Exames e Curativos</v>
      </c>
      <c r="D256" s="108" t="str">
        <f>IFERROR(__xludf.DUMMYFUNCTION("""COMPUTED_VALUE"""),"5ºPav.")</f>
        <v>5ºPav.</v>
      </c>
      <c r="E256" s="108" t="str">
        <f>IFERROR(__xludf.DUMMYFUNCTION("""COMPUTED_VALUE"""),"A")</f>
        <v>A</v>
      </c>
      <c r="F256" s="108"/>
      <c r="G256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3fab95f7db86415b964f5fdc81282438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3fab95f7db86415b964f5fdc81282438&amp;showComments=1&amp;guid=6882be48-6626-5238-d3df-94e9f0a0019d</v>
      </c>
      <c r="H256" s="108" t="str">
        <f>IFERROR(__xludf.DUMMYFUNCTION("""COMPUTED_VALUE"""),"Outros")</f>
        <v>Outros</v>
      </c>
      <c r="I256" s="108"/>
      <c r="J256" s="108"/>
    </row>
    <row r="257">
      <c r="A257" s="109" t="str">
        <f>IFERROR(__xludf.DUMMYFUNCTION("""COMPUTED_VALUE"""),"5ºPav.-Sala de Roud")</f>
        <v>5ºPav.-Sala de Roud</v>
      </c>
      <c r="B257" s="108" t="str">
        <f>IFERROR(__xludf.DUMMYFUNCTION("""COMPUTED_VALUE"""),"5ºPav.")</f>
        <v>5ºPav.</v>
      </c>
      <c r="C257" s="108" t="str">
        <f>IFERROR(__xludf.DUMMYFUNCTION("""COMPUTED_VALUE"""),"Sala de Roud")</f>
        <v>Sala de Roud</v>
      </c>
      <c r="D257" s="108" t="str">
        <f>IFERROR(__xludf.DUMMYFUNCTION("""COMPUTED_VALUE"""),"5ºPav.")</f>
        <v>5ºPav.</v>
      </c>
      <c r="E257" s="108" t="str">
        <f>IFERROR(__xludf.DUMMYFUNCTION("""COMPUTED_VALUE"""),"A")</f>
        <v>A</v>
      </c>
      <c r="F257" s="108"/>
      <c r="G257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3921911528f1496e8a2e81395dc42022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3921911528f1496e8a2e81395dc42022&amp;showComments=1&amp;guid=6882be48-6626-5238-d3df-94e9f0a0019d</v>
      </c>
      <c r="H257" s="108" t="str">
        <f>IFERROR(__xludf.DUMMYFUNCTION("""COMPUTED_VALUE"""),"Outros")</f>
        <v>Outros</v>
      </c>
      <c r="I257" s="108"/>
      <c r="J257" s="108"/>
    </row>
    <row r="258">
      <c r="A258" s="109" t="str">
        <f>IFERROR(__xludf.DUMMYFUNCTION("""COMPUTED_VALUE"""),"5ºPav.-Sala de Serviço Setor A")</f>
        <v>5ºPav.-Sala de Serviço Setor A</v>
      </c>
      <c r="B258" s="108" t="str">
        <f>IFERROR(__xludf.DUMMYFUNCTION("""COMPUTED_VALUE"""),"5ºPav.")</f>
        <v>5ºPav.</v>
      </c>
      <c r="C258" s="108" t="str">
        <f>IFERROR(__xludf.DUMMYFUNCTION("""COMPUTED_VALUE"""),"Sala de Serviço Setor A")</f>
        <v>Sala de Serviço Setor A</v>
      </c>
      <c r="D258" s="108" t="str">
        <f>IFERROR(__xludf.DUMMYFUNCTION("""COMPUTED_VALUE"""),"5ºPav.")</f>
        <v>5ºPav.</v>
      </c>
      <c r="E258" s="108" t="str">
        <f>IFERROR(__xludf.DUMMYFUNCTION("""COMPUTED_VALUE"""),"A")</f>
        <v>A</v>
      </c>
      <c r="F258" s="108">
        <f>IFERROR(__xludf.DUMMYFUNCTION("""COMPUTED_VALUE"""),28.0)</f>
        <v>28</v>
      </c>
      <c r="G258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c28383736d9c4afeadcbe5073e35936b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c28383736d9c4afeadcbe5073e35936b&amp;showComments=1&amp;guid=6882be48-6626-5238-d3df-94e9f0a0019d</v>
      </c>
      <c r="H258" s="108" t="str">
        <f>IFERROR(__xludf.DUMMYFUNCTION("""COMPUTED_VALUE"""),"Posto Enfermagem")</f>
        <v>Posto Enfermagem</v>
      </c>
      <c r="I258" s="108"/>
      <c r="J258" s="108"/>
    </row>
    <row r="259">
      <c r="A259" s="109" t="str">
        <f>IFERROR(__xludf.DUMMYFUNCTION("""COMPUTED_VALUE"""),"5ºPav.-Sala de Serviço Setor B")</f>
        <v>5ºPav.-Sala de Serviço Setor B</v>
      </c>
      <c r="B259" s="108" t="str">
        <f>IFERROR(__xludf.DUMMYFUNCTION("""COMPUTED_VALUE"""),"5ºPav.")</f>
        <v>5ºPav.</v>
      </c>
      <c r="C259" s="108" t="str">
        <f>IFERROR(__xludf.DUMMYFUNCTION("""COMPUTED_VALUE"""),"Sala de Serviço Setor B")</f>
        <v>Sala de Serviço Setor B</v>
      </c>
      <c r="D259" s="108" t="str">
        <f>IFERROR(__xludf.DUMMYFUNCTION("""COMPUTED_VALUE"""),"5ºPav.")</f>
        <v>5ºPav.</v>
      </c>
      <c r="E259" s="108" t="str">
        <f>IFERROR(__xludf.DUMMYFUNCTION("""COMPUTED_VALUE"""),"B")</f>
        <v>B</v>
      </c>
      <c r="F259" s="108">
        <f>IFERROR(__xludf.DUMMYFUNCTION("""COMPUTED_VALUE"""),33.0)</f>
        <v>33</v>
      </c>
      <c r="G259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6b65fc46a77b4905b87735235778e174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6b65fc46a77b4905b87735235778e174&amp;showComments=1&amp;guid=6882be48-6626-5238-d3df-94e9f0a0019d</v>
      </c>
      <c r="H259" s="108" t="str">
        <f>IFERROR(__xludf.DUMMYFUNCTION("""COMPUTED_VALUE"""),"Posto Enfermagem")</f>
        <v>Posto Enfermagem</v>
      </c>
      <c r="I259" s="108"/>
      <c r="J259" s="108"/>
    </row>
    <row r="260">
      <c r="A260" s="109" t="str">
        <f>IFERROR(__xludf.DUMMYFUNCTION("""COMPUTED_VALUE"""),"5ºPav.-Sala de Utilidades")</f>
        <v>5ºPav.-Sala de Utilidades</v>
      </c>
      <c r="B260" s="108" t="str">
        <f>IFERROR(__xludf.DUMMYFUNCTION("""COMPUTED_VALUE"""),"5ºPav.")</f>
        <v>5ºPav.</v>
      </c>
      <c r="C260" s="108" t="str">
        <f>IFERROR(__xludf.DUMMYFUNCTION("""COMPUTED_VALUE"""),"Sala de Utilidades")</f>
        <v>Sala de Utilidades</v>
      </c>
      <c r="D260" s="108" t="str">
        <f>IFERROR(__xludf.DUMMYFUNCTION("""COMPUTED_VALUE"""),"5ºPav.")</f>
        <v>5ºPav.</v>
      </c>
      <c r="E260" s="108" t="str">
        <f>IFERROR(__xludf.DUMMYFUNCTION("""COMPUTED_VALUE"""),"B")</f>
        <v>B</v>
      </c>
      <c r="F260" s="108"/>
      <c r="G260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fab0cae952a14ff6b08e02f4dc38249a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fab0cae952a14ff6b08e02f4dc38249a&amp;showComments=1&amp;guid=6882be48-6626-5238-d3df-94e9f0a0019d</v>
      </c>
      <c r="H260" s="108" t="str">
        <f>IFERROR(__xludf.DUMMYFUNCTION("""COMPUTED_VALUE"""),"Vestiário")</f>
        <v>Vestiário</v>
      </c>
      <c r="I260" s="108"/>
      <c r="J260" s="108"/>
    </row>
    <row r="261">
      <c r="A261" s="109" t="str">
        <f>IFERROR(__xludf.DUMMYFUNCTION("""COMPUTED_VALUE"""),"5ºPav.-Sala Elétrica QDG5")</f>
        <v>5ºPav.-Sala Elétrica QDG5</v>
      </c>
      <c r="B261" s="108" t="str">
        <f>IFERROR(__xludf.DUMMYFUNCTION("""COMPUTED_VALUE"""),"5ºPav.")</f>
        <v>5ºPav.</v>
      </c>
      <c r="C261" s="108" t="str">
        <f>IFERROR(__xludf.DUMMYFUNCTION("""COMPUTED_VALUE"""),"Sala Elétrica QDG5")</f>
        <v>Sala Elétrica QDG5</v>
      </c>
      <c r="D261" s="108" t="str">
        <f>IFERROR(__xludf.DUMMYFUNCTION("""COMPUTED_VALUE"""),"5ºPav.")</f>
        <v>5ºPav.</v>
      </c>
      <c r="E261" s="108" t="str">
        <f>IFERROR(__xludf.DUMMYFUNCTION("""COMPUTED_VALUE"""),"B")</f>
        <v>B</v>
      </c>
      <c r="F261" s="108"/>
      <c r="G261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804d31436da84912ba19a6f604f9ccd5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804d31436da84912ba19a6f604f9ccd5&amp;showComments=1&amp;guid=6882be48-6626-5238-d3df-94e9f0a0019d</v>
      </c>
      <c r="H261" s="108" t="str">
        <f>IFERROR(__xludf.DUMMYFUNCTION("""COMPUTED_VALUE"""),"Sala Elétrica")</f>
        <v>Sala Elétrica</v>
      </c>
      <c r="I261" s="108"/>
      <c r="J261" s="108"/>
    </row>
    <row r="262">
      <c r="A262" s="109" t="str">
        <f>IFERROR(__xludf.DUMMYFUNCTION("""COMPUTED_VALUE"""),"5ºPav.-Sala para Fisioterapia")</f>
        <v>5ºPav.-Sala para Fisioterapia</v>
      </c>
      <c r="B262" s="108" t="str">
        <f>IFERROR(__xludf.DUMMYFUNCTION("""COMPUTED_VALUE"""),"5ºPav.")</f>
        <v>5ºPav.</v>
      </c>
      <c r="C262" s="108" t="str">
        <f>IFERROR(__xludf.DUMMYFUNCTION("""COMPUTED_VALUE"""),"Sala para Fisioterapia")</f>
        <v>Sala para Fisioterapia</v>
      </c>
      <c r="D262" s="108" t="str">
        <f>IFERROR(__xludf.DUMMYFUNCTION("""COMPUTED_VALUE"""),"5ºPav.")</f>
        <v>5ºPav.</v>
      </c>
      <c r="E262" s="108" t="str">
        <f>IFERROR(__xludf.DUMMYFUNCTION("""COMPUTED_VALUE"""),"A")</f>
        <v>A</v>
      </c>
      <c r="F262" s="108"/>
      <c r="G262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10c358d4593b4f21911fd8f34a6eb6bb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10c358d4593b4f21911fd8f34a6eb6bb&amp;showComments=1&amp;guid=6882be48-6626-5238-d3df-94e9f0a0019d</v>
      </c>
      <c r="H262" s="108" t="str">
        <f>IFERROR(__xludf.DUMMYFUNCTION("""COMPUTED_VALUE"""),"Outros")</f>
        <v>Outros</v>
      </c>
      <c r="I262" s="108"/>
      <c r="J262" s="108"/>
    </row>
    <row r="263">
      <c r="A263" s="109" t="str">
        <f>IFERROR(__xludf.DUMMYFUNCTION("""COMPUTED_VALUE"""),"5ºPav.-Sala Rack II - 11 - TI")</f>
        <v>5ºPav.-Sala Rack II - 11 - TI</v>
      </c>
      <c r="B263" s="108" t="str">
        <f>IFERROR(__xludf.DUMMYFUNCTION("""COMPUTED_VALUE"""),"5ºPav.")</f>
        <v>5ºPav.</v>
      </c>
      <c r="C263" s="108" t="str">
        <f>IFERROR(__xludf.DUMMYFUNCTION("""COMPUTED_VALUE"""),"Sala Rack II - 11 - TI")</f>
        <v>Sala Rack II - 11 - TI</v>
      </c>
      <c r="D263" s="108" t="str">
        <f>IFERROR(__xludf.DUMMYFUNCTION("""COMPUTED_VALUE"""),"5ºPav.")</f>
        <v>5ºPav.</v>
      </c>
      <c r="E263" s="108" t="str">
        <f>IFERROR(__xludf.DUMMYFUNCTION("""COMPUTED_VALUE"""),"B")</f>
        <v>B</v>
      </c>
      <c r="F263" s="108"/>
      <c r="G263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1c007d4053bf4da0bf811a87f6f6e0ad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1c007d4053bf4da0bf811a87f6f6e0ad&amp;showComments=1&amp;guid=6882be48-6626-5238-d3df-94e9f0a0019d</v>
      </c>
      <c r="H263" s="108" t="str">
        <f>IFERROR(__xludf.DUMMYFUNCTION("""COMPUTED_VALUE"""),"Sala Elétrica")</f>
        <v>Sala Elétrica</v>
      </c>
      <c r="I263" s="108"/>
      <c r="J263" s="108"/>
    </row>
    <row r="264">
      <c r="A264" s="109" t="str">
        <f>IFERROR(__xludf.DUMMYFUNCTION("""COMPUTED_VALUE"""),"5ºPav.-Sala Rack JJ - 12 - TI")</f>
        <v>5ºPav.-Sala Rack JJ - 12 - TI</v>
      </c>
      <c r="B264" s="108" t="str">
        <f>IFERROR(__xludf.DUMMYFUNCTION("""COMPUTED_VALUE"""),"5ºPav.")</f>
        <v>5ºPav.</v>
      </c>
      <c r="C264" s="108" t="str">
        <f>IFERROR(__xludf.DUMMYFUNCTION("""COMPUTED_VALUE"""),"Sala Rack JJ - 12 - TI")</f>
        <v>Sala Rack JJ - 12 - TI</v>
      </c>
      <c r="D264" s="108" t="str">
        <f>IFERROR(__xludf.DUMMYFUNCTION("""COMPUTED_VALUE"""),"5ºPav.")</f>
        <v>5ºPav.</v>
      </c>
      <c r="E264" s="108" t="str">
        <f>IFERROR(__xludf.DUMMYFUNCTION("""COMPUTED_VALUE"""),"A")</f>
        <v>A</v>
      </c>
      <c r="F264" s="108"/>
      <c r="G264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8439c6c0d0f7402c927d29f6aab7dfad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8439c6c0d0f7402c927d29f6aab7dfad&amp;showComments=1&amp;guid=6882be48-6626-5238-d3df-94e9f0a0019d</v>
      </c>
      <c r="H264" s="108" t="str">
        <f>IFERROR(__xludf.DUMMYFUNCTION("""COMPUTED_VALUE"""),"Sala Elétrica")</f>
        <v>Sala Elétrica</v>
      </c>
      <c r="I264" s="109" t="str">
        <f>IFERROR(__xludf.DUMMYFUNCTION("""COMPUTED_VALUE"""),"https://photos.google.com/search/5%C2%BAPav.-Sala%20Rack%20JJ%20-%20TI")</f>
        <v>https://photos.google.com/search/5%C2%BAPav.-Sala%20Rack%20JJ%20-%20TI</v>
      </c>
      <c r="J264" s="108"/>
    </row>
    <row r="265">
      <c r="A265" s="109" t="str">
        <f>IFERROR(__xludf.DUMMYFUNCTION("""COMPUTED_VALUE"""),"5ºPav.-Sanitário Público PCD Feminino")</f>
        <v>5ºPav.-Sanitário Público PCD Feminino</v>
      </c>
      <c r="B265" s="108" t="str">
        <f>IFERROR(__xludf.DUMMYFUNCTION("""COMPUTED_VALUE"""),"5ºPav.")</f>
        <v>5ºPav.</v>
      </c>
      <c r="C265" s="108" t="str">
        <f>IFERROR(__xludf.DUMMYFUNCTION("""COMPUTED_VALUE"""),"Sanitário Público PCD Feminino")</f>
        <v>Sanitário Público PCD Feminino</v>
      </c>
      <c r="D265" s="108" t="str">
        <f>IFERROR(__xludf.DUMMYFUNCTION("""COMPUTED_VALUE"""),"5ºPav.")</f>
        <v>5ºPav.</v>
      </c>
      <c r="E265" s="108" t="str">
        <f>IFERROR(__xludf.DUMMYFUNCTION("""COMPUTED_VALUE"""),"A")</f>
        <v>A</v>
      </c>
      <c r="F265" s="108"/>
      <c r="G265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a22a95a6470a49ce9b541a34c318efe7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a22a95a6470a49ce9b541a34c318efe7&amp;showComments=1&amp;guid=6882be48-6626-5238-d3df-94e9f0a0019d</v>
      </c>
      <c r="H265" s="108" t="str">
        <f>IFERROR(__xludf.DUMMYFUNCTION("""COMPUTED_VALUE"""),"Sanitário")</f>
        <v>Sanitário</v>
      </c>
      <c r="I265" s="108"/>
      <c r="J265" s="108"/>
    </row>
    <row r="266">
      <c r="A266" s="109" t="str">
        <f>IFERROR(__xludf.DUMMYFUNCTION("""COMPUTED_VALUE"""),"5ºPav.-Sanitário Público PCD Masculino")</f>
        <v>5ºPav.-Sanitário Público PCD Masculino</v>
      </c>
      <c r="B266" s="108" t="str">
        <f>IFERROR(__xludf.DUMMYFUNCTION("""COMPUTED_VALUE"""),"5ºPav.")</f>
        <v>5ºPav.</v>
      </c>
      <c r="C266" s="108" t="str">
        <f>IFERROR(__xludf.DUMMYFUNCTION("""COMPUTED_VALUE"""),"Sanitário Público PCD Masculino")</f>
        <v>Sanitário Público PCD Masculino</v>
      </c>
      <c r="D266" s="108" t="str">
        <f>IFERROR(__xludf.DUMMYFUNCTION("""COMPUTED_VALUE"""),"5ºPav.")</f>
        <v>5ºPav.</v>
      </c>
      <c r="E266" s="108" t="str">
        <f>IFERROR(__xludf.DUMMYFUNCTION("""COMPUTED_VALUE"""),"A")</f>
        <v>A</v>
      </c>
      <c r="F266" s="108"/>
      <c r="G266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b617ed3d65d34951b3b3341795d8783d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b617ed3d65d34951b3b3341795d8783d&amp;showComments=1&amp;guid=6882be48-6626-5238-d3df-94e9f0a0019d</v>
      </c>
      <c r="H266" s="108" t="str">
        <f>IFERROR(__xludf.DUMMYFUNCTION("""COMPUTED_VALUE"""),"Sanitário")</f>
        <v>Sanitário</v>
      </c>
      <c r="I266" s="108"/>
      <c r="J266" s="108"/>
    </row>
    <row r="267">
      <c r="A267" s="109" t="str">
        <f>IFERROR(__xludf.DUMMYFUNCTION("""COMPUTED_VALUE"""),"5ºPav.-Vestiário / Sanitário Func. Feminino")</f>
        <v>5ºPav.-Vestiário / Sanitário Func. Feminino</v>
      </c>
      <c r="B267" s="108" t="str">
        <f>IFERROR(__xludf.DUMMYFUNCTION("""COMPUTED_VALUE"""),"5ºPav.")</f>
        <v>5ºPav.</v>
      </c>
      <c r="C267" s="108" t="str">
        <f>IFERROR(__xludf.DUMMYFUNCTION("""COMPUTED_VALUE"""),"Vestiário / Sanitário Func. Feminino")</f>
        <v>Vestiário / Sanitário Func. Feminino</v>
      </c>
      <c r="D267" s="108" t="str">
        <f>IFERROR(__xludf.DUMMYFUNCTION("""COMPUTED_VALUE"""),"5ºPav.")</f>
        <v>5ºPav.</v>
      </c>
      <c r="E267" s="108" t="str">
        <f>IFERROR(__xludf.DUMMYFUNCTION("""COMPUTED_VALUE"""),"B")</f>
        <v>B</v>
      </c>
      <c r="F267" s="108"/>
      <c r="G267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showComments=1&amp;guid=6882b"&amp;"e48-6626-5238-d3df-94e9f0a0019d&amp;commentId=urn:adsk.comments:social.comment:b34c131928ba4f519533e6ee9809e0f0")</f>
        <v>https://myhub.autodesk360.com/ue29d95bb/g/projects/20210514412106331/data/dXJuOmFkc2sud2lwcHJvZDpmcy5mb2xkZXI6Y28ucU04eGNtQzdReXliS0NURmJQYUFTQQ/dXJuOmFkc2sud2lwcHJvZDpkbS5saW5lYWdlOnBSS2FRanAtVERxb0dvMG5IQkZDa0E/viewer?version=1&amp;showComments=1&amp;guid=6882be48-6626-5238-d3df-94e9f0a0019d&amp;commentId=urn:adsk.comments:social.comment:b34c131928ba4f519533e6ee9809e0f0</v>
      </c>
      <c r="H267" s="108" t="str">
        <f>IFERROR(__xludf.DUMMYFUNCTION("""COMPUTED_VALUE"""),"Vestiário")</f>
        <v>Vestiário</v>
      </c>
      <c r="I267" s="108"/>
      <c r="J267" s="108"/>
    </row>
    <row r="268">
      <c r="A268" s="109" t="str">
        <f>IFERROR(__xludf.DUMMYFUNCTION("""COMPUTED_VALUE"""),"5ºPav.-Vestiário / Sanitário Func. Masculino")</f>
        <v>5ºPav.-Vestiário / Sanitário Func. Masculino</v>
      </c>
      <c r="B268" s="108" t="str">
        <f>IFERROR(__xludf.DUMMYFUNCTION("""COMPUTED_VALUE"""),"5ºPav.")</f>
        <v>5ºPav.</v>
      </c>
      <c r="C268" s="108" t="str">
        <f>IFERROR(__xludf.DUMMYFUNCTION("""COMPUTED_VALUE"""),"Vestiário / Sanitário Func. Masculino")</f>
        <v>Vestiário / Sanitário Func. Masculino</v>
      </c>
      <c r="D268" s="108" t="str">
        <f>IFERROR(__xludf.DUMMYFUNCTION("""COMPUTED_VALUE"""),"5ºPav.")</f>
        <v>5ºPav.</v>
      </c>
      <c r="E268" s="108" t="str">
        <f>IFERROR(__xludf.DUMMYFUNCTION("""COMPUTED_VALUE"""),"B")</f>
        <v>B</v>
      </c>
      <c r="F268" s="108"/>
      <c r="G268" s="109" t="str">
        <f>IFERROR(__xludf.DUMMYFUNCTION("""COMPUTED_VALUE"""),"https://myhub.autodesk360.com/ue29d95bb/g/projects/20210514412106331/data/dXJuOmFkc2sud2lwcHJvZDpmcy5mb2xkZXI6Y28ucU04eGNtQzdReXliS0NURmJQYUFTQQ/dXJuOmFkc2sud2lwcHJvZDpkbS5saW5lYWdlOnBSS2FRanAtVERxb0dvMG5IQkZDa0E/viewer?version=1&amp;commentId=urn:adsk.commen"&amp;"ts:social.comment:5a7bdd92878b42c18f910b518833705c&amp;showComments=1&amp;guid=6882be48-6626-5238-d3df-94e9f0a0019d")</f>
        <v>https://myhub.autodesk360.com/ue29d95bb/g/projects/20210514412106331/data/dXJuOmFkc2sud2lwcHJvZDpmcy5mb2xkZXI6Y28ucU04eGNtQzdReXliS0NURmJQYUFTQQ/dXJuOmFkc2sud2lwcHJvZDpkbS5saW5lYWdlOnBSS2FRanAtVERxb0dvMG5IQkZDa0E/viewer?version=1&amp;commentId=urn:adsk.comments:social.comment:5a7bdd92878b42c18f910b518833705c&amp;showComments=1&amp;guid=6882be48-6626-5238-d3df-94e9f0a0019d</v>
      </c>
      <c r="H268" s="108" t="str">
        <f>IFERROR(__xludf.DUMMYFUNCTION("""COMPUTED_VALUE"""),"Vestiário")</f>
        <v>Vestiário</v>
      </c>
      <c r="I268" s="108"/>
      <c r="J268" s="108"/>
    </row>
    <row r="269">
      <c r="A269" s="109" t="str">
        <f>IFERROR(__xludf.DUMMYFUNCTION("""COMPUTED_VALUE"""),"6ºPav.")</f>
        <v>6ºPav.</v>
      </c>
      <c r="B269" s="108" t="str">
        <f>IFERROR(__xludf.DUMMYFUNCTION("""COMPUTED_VALUE"""),"6ºPav.")</f>
        <v>6ºPav.</v>
      </c>
      <c r="C269" s="108" t="str">
        <f>IFERROR(__xludf.DUMMYFUNCTION("""COMPUTED_VALUE"""),"6ºPav.")</f>
        <v>6ºPav.</v>
      </c>
      <c r="D269" s="108"/>
      <c r="E269" s="108"/>
      <c r="F269" s="108">
        <f>IFERROR(__xludf.DUMMYFUNCTION("""COMPUTED_VALUE"""),1.0)</f>
        <v>1</v>
      </c>
      <c r="G269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commentId=urn:adsk.commen"&amp;"ts:social.comment:39f08209f2f44911885934048989da98&amp;showComments=1&amp;guid=6882be48-6626-5238-d3df-94e9f0a0019d")</f>
        <v>https://myhub.autodesk360.com/ue29d95bb/g/projects/20210514412106331/data/dXJuOmFkc2sud2lwcHJvZDpmcy5mb2xkZXI6Y28ucU04eGNtQzdReXliS0NURmJQYUFTQQ/dXJuOmFkc2sud2lwcHJvZDpkbS5saW5lYWdlOlIxcW9GQjZOUVVTSXcyeEtSdDd2dGc/viewer?version=1&amp;commentId=urn:adsk.comments:social.comment:39f08209f2f44911885934048989da98&amp;showComments=1&amp;guid=6882be48-6626-5238-d3df-94e9f0a0019d</v>
      </c>
      <c r="H269" s="108" t="str">
        <f>IFERROR(__xludf.DUMMYFUNCTION("""COMPUTED_VALUE"""),"Geral")</f>
        <v>Geral</v>
      </c>
      <c r="I269" s="109" t="str">
        <f>IFERROR(__xludf.DUMMYFUNCTION("""COMPUTED_VALUE"""),"https://photos.google.com/share/AF1QipNtIAUKYKdqQNrU1p28J5tbim1_p4pkWRFMPbgmOQDMWRwZJYi4dP21Sm7H-cF97g?key=QUFhMDFmWHBwZVFqajFTVkpOZU5QVnE3eHo5SkVn")</f>
        <v>https://photos.google.com/share/AF1QipNtIAUKYKdqQNrU1p28J5tbim1_p4pkWRFMPbgmOQDMWRwZJYi4dP21Sm7H-cF97g?key=QUFhMDFmWHBwZVFqajFTVkpOZU5QVnE3eHo5SkVn</v>
      </c>
      <c r="J269" s="108"/>
    </row>
    <row r="270">
      <c r="A270" s="109" t="str">
        <f>IFERROR(__xludf.DUMMYFUNCTION("""COMPUTED_VALUE"""),"6ºPav.-Antecâmara Sala Prep. Quimio. 1")</f>
        <v>6ºPav.-Antecâmara Sala Prep. Quimio. 1</v>
      </c>
      <c r="B270" s="108" t="str">
        <f>IFERROR(__xludf.DUMMYFUNCTION("""COMPUTED_VALUE"""),"6ºPav.")</f>
        <v>6ºPav.</v>
      </c>
      <c r="C270" s="108" t="str">
        <f>IFERROR(__xludf.DUMMYFUNCTION("""COMPUTED_VALUE"""),"Antecâmara Sala Prep. Quimio. 1")</f>
        <v>Antecâmara Sala Prep. Quimio. 1</v>
      </c>
      <c r="D270" s="108" t="str">
        <f>IFERROR(__xludf.DUMMYFUNCTION("""COMPUTED_VALUE"""),"6ºPav.")</f>
        <v>6ºPav.</v>
      </c>
      <c r="E270" s="108" t="str">
        <f>IFERROR(__xludf.DUMMYFUNCTION("""COMPUTED_VALUE"""),"B")</f>
        <v>B</v>
      </c>
      <c r="F270" s="108">
        <f>IFERROR(__xludf.DUMMYFUNCTION("""COMPUTED_VALUE"""),27.0)</f>
        <v>27</v>
      </c>
      <c r="G270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e100c75163804d8abafa208d6f2e2dfa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e100c75163804d8abafa208d6f2e2dfa</v>
      </c>
      <c r="H270" s="108" t="str">
        <f>IFERROR(__xludf.DUMMYFUNCTION("""COMPUTED_VALUE"""),"Farmácia")</f>
        <v>Farmácia</v>
      </c>
      <c r="I270" s="108"/>
      <c r="J270" s="108"/>
    </row>
    <row r="271">
      <c r="A271" s="109" t="str">
        <f>IFERROR(__xludf.DUMMYFUNCTION("""COMPUTED_VALUE"""),"6ºPav.-Antecâmara Sala Prep. Quimio. 2")</f>
        <v>6ºPav.-Antecâmara Sala Prep. Quimio. 2</v>
      </c>
      <c r="B271" s="108" t="str">
        <f>IFERROR(__xludf.DUMMYFUNCTION("""COMPUTED_VALUE"""),"6ºPav.")</f>
        <v>6ºPav.</v>
      </c>
      <c r="C271" s="108" t="str">
        <f>IFERROR(__xludf.DUMMYFUNCTION("""COMPUTED_VALUE"""),"Antecâmara Sala Prep. Quimio. 2")</f>
        <v>Antecâmara Sala Prep. Quimio. 2</v>
      </c>
      <c r="D271" s="108" t="str">
        <f>IFERROR(__xludf.DUMMYFUNCTION("""COMPUTED_VALUE"""),"6ºPav.")</f>
        <v>6ºPav.</v>
      </c>
      <c r="E271" s="108" t="str">
        <f>IFERROR(__xludf.DUMMYFUNCTION("""COMPUTED_VALUE"""),"B")</f>
        <v>B</v>
      </c>
      <c r="F271" s="108">
        <f>IFERROR(__xludf.DUMMYFUNCTION("""COMPUTED_VALUE"""),23.0)</f>
        <v>23</v>
      </c>
      <c r="G271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0eda47a2277b47b18cd5b5016f0b8120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0eda47a2277b47b18cd5b5016f0b8120</v>
      </c>
      <c r="H271" s="108" t="str">
        <f>IFERROR(__xludf.DUMMYFUNCTION("""COMPUTED_VALUE"""),"Farmácia")</f>
        <v>Farmácia</v>
      </c>
      <c r="I271" s="108"/>
      <c r="J271" s="108"/>
    </row>
    <row r="272">
      <c r="A272" s="109" t="str">
        <f>IFERROR(__xludf.DUMMYFUNCTION("""COMPUTED_VALUE"""),"6ºPav.-Antecâmara Sala Prep. Quimio. 3")</f>
        <v>6ºPav.-Antecâmara Sala Prep. Quimio. 3</v>
      </c>
      <c r="B272" s="108" t="str">
        <f>IFERROR(__xludf.DUMMYFUNCTION("""COMPUTED_VALUE"""),"6ºPav.")</f>
        <v>6ºPav.</v>
      </c>
      <c r="C272" s="108" t="str">
        <f>IFERROR(__xludf.DUMMYFUNCTION("""COMPUTED_VALUE"""),"Antecâmara Sala Prep. Quimio. 3")</f>
        <v>Antecâmara Sala Prep. Quimio. 3</v>
      </c>
      <c r="D272" s="108" t="str">
        <f>IFERROR(__xludf.DUMMYFUNCTION("""COMPUTED_VALUE"""),"6ºPav.")</f>
        <v>6ºPav.</v>
      </c>
      <c r="E272" s="108" t="str">
        <f>IFERROR(__xludf.DUMMYFUNCTION("""COMPUTED_VALUE"""),"B")</f>
        <v>B</v>
      </c>
      <c r="F272" s="108">
        <f>IFERROR(__xludf.DUMMYFUNCTION("""COMPUTED_VALUE"""),22.0)</f>
        <v>22</v>
      </c>
      <c r="G272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06504c0941f0499d9cc054d4c82b8b55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06504c0941f0499d9cc054d4c82b8b55</v>
      </c>
      <c r="H272" s="108" t="str">
        <f>IFERROR(__xludf.DUMMYFUNCTION("""COMPUTED_VALUE"""),"Farmácia")</f>
        <v>Farmácia</v>
      </c>
      <c r="I272" s="108"/>
      <c r="J272" s="108"/>
    </row>
    <row r="273">
      <c r="A273" s="109" t="str">
        <f>IFERROR(__xludf.DUMMYFUNCTION("""COMPUTED_VALUE"""),"6ºPav.-Antecâmara Setor A")</f>
        <v>6ºPav.-Antecâmara Setor A</v>
      </c>
      <c r="B273" s="108" t="str">
        <f>IFERROR(__xludf.DUMMYFUNCTION("""COMPUTED_VALUE"""),"6ºPav.")</f>
        <v>6ºPav.</v>
      </c>
      <c r="C273" s="108" t="str">
        <f>IFERROR(__xludf.DUMMYFUNCTION("""COMPUTED_VALUE"""),"Antecâmara Setor A")</f>
        <v>Antecâmara Setor A</v>
      </c>
      <c r="D273" s="108" t="str">
        <f>IFERROR(__xludf.DUMMYFUNCTION("""COMPUTED_VALUE"""),"6ºPav.")</f>
        <v>6ºPav.</v>
      </c>
      <c r="E273" s="108" t="str">
        <f>IFERROR(__xludf.DUMMYFUNCTION("""COMPUTED_VALUE"""),"A")</f>
        <v>A</v>
      </c>
      <c r="F273" s="108">
        <f>IFERROR(__xludf.DUMMYFUNCTION("""COMPUTED_VALUE"""),45.0)</f>
        <v>45</v>
      </c>
      <c r="G273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commentId=urn:adsk.commen"&amp;"ts:social.comment:0be6a08df5064eff836ed10b17451300&amp;showComments=1&amp;guid=6882be48-6626-5238-d3df-94e9f0a0019d")</f>
        <v>https://myhub.autodesk360.com/ue29d95bb/g/projects/20210514412106331/data/dXJuOmFkc2sud2lwcHJvZDpmcy5mb2xkZXI6Y28ucU04eGNtQzdReXliS0NURmJQYUFTQQ/dXJuOmFkc2sud2lwcHJvZDpkbS5saW5lYWdlOlIxcW9GQjZOUVVTSXcyeEtSdDd2dGc/viewer?version=1&amp;commentId=urn:adsk.comments:social.comment:0be6a08df5064eff836ed10b17451300&amp;showComments=1&amp;guid=6882be48-6626-5238-d3df-94e9f0a0019d</v>
      </c>
      <c r="H273" s="108" t="str">
        <f>IFERROR(__xludf.DUMMYFUNCTION("""COMPUTED_VALUE"""),"Circulação / Corredores")</f>
        <v>Circulação / Corredores</v>
      </c>
      <c r="I273" s="108"/>
      <c r="J273" s="108"/>
    </row>
    <row r="274">
      <c r="A274" s="109" t="str">
        <f>IFERROR(__xludf.DUMMYFUNCTION("""COMPUTED_VALUE"""),"6ºPav.-Antecâmara Setor B")</f>
        <v>6ºPav.-Antecâmara Setor B</v>
      </c>
      <c r="B274" s="108" t="str">
        <f>IFERROR(__xludf.DUMMYFUNCTION("""COMPUTED_VALUE"""),"6ºPav.")</f>
        <v>6ºPav.</v>
      </c>
      <c r="C274" s="108" t="str">
        <f>IFERROR(__xludf.DUMMYFUNCTION("""COMPUTED_VALUE"""),"Antecâmara Setor B")</f>
        <v>Antecâmara Setor B</v>
      </c>
      <c r="D274" s="108" t="str">
        <f>IFERROR(__xludf.DUMMYFUNCTION("""COMPUTED_VALUE"""),"6ºPav.")</f>
        <v>6ºPav.</v>
      </c>
      <c r="E274" s="108" t="str">
        <f>IFERROR(__xludf.DUMMYFUNCTION("""COMPUTED_VALUE"""),"B")</f>
        <v>B</v>
      </c>
      <c r="F274" s="108">
        <f>IFERROR(__xludf.DUMMYFUNCTION("""COMPUTED_VALUE"""),55.0)</f>
        <v>55</v>
      </c>
      <c r="G274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lIxcW9GQjZOUVVTSXcyeEtSdDd2dGc/viewer?version=1&amp;showComments=1&amp;guid=6882be48-6626-5238-d3df-94e9f0a0019d</v>
      </c>
      <c r="H274" s="108" t="str">
        <f>IFERROR(__xludf.DUMMYFUNCTION("""COMPUTED_VALUE"""),"Circulação / Corredores")</f>
        <v>Circulação / Corredores</v>
      </c>
      <c r="I274" s="108"/>
      <c r="J274" s="108"/>
    </row>
    <row r="275">
      <c r="A275" s="109" t="str">
        <f>IFERROR(__xludf.DUMMYFUNCTION("""COMPUTED_VALUE"""),"6ºPav.-Área de Pesquisa")</f>
        <v>6ºPav.-Área de Pesquisa</v>
      </c>
      <c r="B275" s="108" t="str">
        <f>IFERROR(__xludf.DUMMYFUNCTION("""COMPUTED_VALUE"""),"6ºPav.")</f>
        <v>6ºPav.</v>
      </c>
      <c r="C275" s="108" t="str">
        <f>IFERROR(__xludf.DUMMYFUNCTION("""COMPUTED_VALUE"""),"Área de Pesquisa")</f>
        <v>Área de Pesquisa</v>
      </c>
      <c r="D275" s="108" t="str">
        <f>IFERROR(__xludf.DUMMYFUNCTION("""COMPUTED_VALUE"""),"6ºPav.")</f>
        <v>6ºPav.</v>
      </c>
      <c r="E275" s="108" t="str">
        <f>IFERROR(__xludf.DUMMYFUNCTION("""COMPUTED_VALUE"""),"B")</f>
        <v>B</v>
      </c>
      <c r="F275" s="108">
        <f>IFERROR(__xludf.DUMMYFUNCTION("""COMPUTED_VALUE"""),36.0)</f>
        <v>36</v>
      </c>
      <c r="G275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74c97afcd4f74fadb759c7315bda896e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74c97afcd4f74fadb759c7315bda896e</v>
      </c>
      <c r="H275" s="108" t="str">
        <f>IFERROR(__xludf.DUMMYFUNCTION("""COMPUTED_VALUE"""),"Outros")</f>
        <v>Outros</v>
      </c>
      <c r="I275" s="108"/>
      <c r="J275" s="108"/>
    </row>
    <row r="276">
      <c r="A276" s="109" t="str">
        <f>IFERROR(__xludf.DUMMYFUNCTION("""COMPUTED_VALUE"""),"6ºPav.-Área Dispensação")</f>
        <v>6ºPav.-Área Dispensação</v>
      </c>
      <c r="B276" s="108" t="str">
        <f>IFERROR(__xludf.DUMMYFUNCTION("""COMPUTED_VALUE"""),"6ºPav.")</f>
        <v>6ºPav.</v>
      </c>
      <c r="C276" s="108" t="str">
        <f>IFERROR(__xludf.DUMMYFUNCTION("""COMPUTED_VALUE"""),"Área Dispensação")</f>
        <v>Área Dispensação</v>
      </c>
      <c r="D276" s="108" t="str">
        <f>IFERROR(__xludf.DUMMYFUNCTION("""COMPUTED_VALUE"""),"6ºPav.")</f>
        <v>6ºPav.</v>
      </c>
      <c r="E276" s="108" t="str">
        <f>IFERROR(__xludf.DUMMYFUNCTION("""COMPUTED_VALUE"""),"B")</f>
        <v>B</v>
      </c>
      <c r="F276" s="108">
        <f>IFERROR(__xludf.DUMMYFUNCTION("""COMPUTED_VALUE"""),32.0)</f>
        <v>32</v>
      </c>
      <c r="G276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0141da7032454e30930a68feb68ebe52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0141da7032454e30930a68feb68ebe52</v>
      </c>
      <c r="H276" s="108" t="str">
        <f>IFERROR(__xludf.DUMMYFUNCTION("""COMPUTED_VALUE"""),"Farmácia")</f>
        <v>Farmácia</v>
      </c>
      <c r="I276" s="108"/>
      <c r="J276" s="108"/>
    </row>
    <row r="277">
      <c r="A277" s="109" t="str">
        <f>IFERROR(__xludf.DUMMYFUNCTION("""COMPUTED_VALUE"""),"6ºPav.-Auditório")</f>
        <v>6ºPav.-Auditório</v>
      </c>
      <c r="B277" s="108" t="str">
        <f>IFERROR(__xludf.DUMMYFUNCTION("""COMPUTED_VALUE"""),"6ºPav.")</f>
        <v>6ºPav.</v>
      </c>
      <c r="C277" s="108" t="str">
        <f>IFERROR(__xludf.DUMMYFUNCTION("""COMPUTED_VALUE"""),"Auditório")</f>
        <v>Auditório</v>
      </c>
      <c r="D277" s="108" t="str">
        <f>IFERROR(__xludf.DUMMYFUNCTION("""COMPUTED_VALUE"""),"6ºPav.")</f>
        <v>6ºPav.</v>
      </c>
      <c r="E277" s="108" t="str">
        <f>IFERROR(__xludf.DUMMYFUNCTION("""COMPUTED_VALUE"""),"B")</f>
        <v>B</v>
      </c>
      <c r="F277" s="108">
        <f>IFERROR(__xludf.DUMMYFUNCTION("""COMPUTED_VALUE"""),48.0)</f>
        <v>48</v>
      </c>
      <c r="G277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5dc88d3d3a0344e9a78c92ad7c8a68e3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5dc88d3d3a0344e9a78c92ad7c8a68e3</v>
      </c>
      <c r="H277" s="108" t="str">
        <f>IFERROR(__xludf.DUMMYFUNCTION("""COMPUTED_VALUE"""),"Outros")</f>
        <v>Outros</v>
      </c>
      <c r="I277" s="108"/>
      <c r="J277" s="108"/>
    </row>
    <row r="278">
      <c r="A278" s="109" t="str">
        <f>IFERROR(__xludf.DUMMYFUNCTION("""COMPUTED_VALUE"""),"6ºPav.-Biblioteca")</f>
        <v>6ºPav.-Biblioteca</v>
      </c>
      <c r="B278" s="108" t="str">
        <f>IFERROR(__xludf.DUMMYFUNCTION("""COMPUTED_VALUE"""),"6ºPav.")</f>
        <v>6ºPav.</v>
      </c>
      <c r="C278" s="108" t="str">
        <f>IFERROR(__xludf.DUMMYFUNCTION("""COMPUTED_VALUE"""),"Biblioteca")</f>
        <v>Biblioteca</v>
      </c>
      <c r="D278" s="108" t="str">
        <f>IFERROR(__xludf.DUMMYFUNCTION("""COMPUTED_VALUE"""),"6ºPav.")</f>
        <v>6ºPav.</v>
      </c>
      <c r="E278" s="108" t="str">
        <f>IFERROR(__xludf.DUMMYFUNCTION("""COMPUTED_VALUE"""),"A")</f>
        <v>A</v>
      </c>
      <c r="F278" s="108">
        <f>IFERROR(__xludf.DUMMYFUNCTION("""COMPUTED_VALUE"""),37.0)</f>
        <v>37</v>
      </c>
      <c r="G278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b9bc5347f11e44a88634eeae6d13ee3e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b9bc5347f11e44a88634eeae6d13ee3e</v>
      </c>
      <c r="H278" s="108" t="str">
        <f>IFERROR(__xludf.DUMMYFUNCTION("""COMPUTED_VALUE"""),"Outros")</f>
        <v>Outros</v>
      </c>
      <c r="I278" s="108"/>
      <c r="J278" s="108"/>
    </row>
    <row r="279">
      <c r="A279" s="109" t="str">
        <f>IFERROR(__xludf.DUMMYFUNCTION("""COMPUTED_VALUE"""),"6ºPav.-Cafeteria Funcionários")</f>
        <v>6ºPav.-Cafeteria Funcionários</v>
      </c>
      <c r="B279" s="108" t="str">
        <f>IFERROR(__xludf.DUMMYFUNCTION("""COMPUTED_VALUE"""),"6ºPav.")</f>
        <v>6ºPav.</v>
      </c>
      <c r="C279" s="108" t="str">
        <f>IFERROR(__xludf.DUMMYFUNCTION("""COMPUTED_VALUE"""),"Cafeteria Funcionários")</f>
        <v>Cafeteria Funcionários</v>
      </c>
      <c r="D279" s="108" t="str">
        <f>IFERROR(__xludf.DUMMYFUNCTION("""COMPUTED_VALUE"""),"6ºPav.")</f>
        <v>6ºPav.</v>
      </c>
      <c r="E279" s="108" t="str">
        <f>IFERROR(__xludf.DUMMYFUNCTION("""COMPUTED_VALUE"""),"B")</f>
        <v>B</v>
      </c>
      <c r="F279" s="108">
        <f>IFERROR(__xludf.DUMMYFUNCTION("""COMPUTED_VALUE"""),19.0)</f>
        <v>19</v>
      </c>
      <c r="G279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8ac6814487194187b226024c2235a16f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8ac6814487194187b226024c2235a16f</v>
      </c>
      <c r="H279" s="108" t="str">
        <f>IFERROR(__xludf.DUMMYFUNCTION("""COMPUTED_VALUE"""),"Outros")</f>
        <v>Outros</v>
      </c>
      <c r="I279" s="108"/>
      <c r="J279" s="108"/>
    </row>
    <row r="280">
      <c r="A280" s="109" t="str">
        <f>IFERROR(__xludf.DUMMYFUNCTION("""COMPUTED_VALUE"""),"6ºPav.-Chefia - Farmácia")</f>
        <v>6ºPav.-Chefia - Farmácia</v>
      </c>
      <c r="B280" s="108" t="str">
        <f>IFERROR(__xludf.DUMMYFUNCTION("""COMPUTED_VALUE"""),"6ºPav.")</f>
        <v>6ºPav.</v>
      </c>
      <c r="C280" s="108" t="str">
        <f>IFERROR(__xludf.DUMMYFUNCTION("""COMPUTED_VALUE"""),"Chefia - Farmácia")</f>
        <v>Chefia - Farmácia</v>
      </c>
      <c r="D280" s="108" t="str">
        <f>IFERROR(__xludf.DUMMYFUNCTION("""COMPUTED_VALUE"""),"6ºPav.")</f>
        <v>6ºPav.</v>
      </c>
      <c r="E280" s="108" t="str">
        <f>IFERROR(__xludf.DUMMYFUNCTION("""COMPUTED_VALUE"""),"B")</f>
        <v>B</v>
      </c>
      <c r="F280" s="108">
        <f>IFERROR(__xludf.DUMMYFUNCTION("""COMPUTED_VALUE"""),31.0)</f>
        <v>31</v>
      </c>
      <c r="G280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4d4b3c2ccdaf4b62aecb4821936fcbf2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4d4b3c2ccdaf4b62aecb4821936fcbf2</v>
      </c>
      <c r="H280" s="108" t="str">
        <f>IFERROR(__xludf.DUMMYFUNCTION("""COMPUTED_VALUE"""),"Farmácia")</f>
        <v>Farmácia</v>
      </c>
      <c r="I280" s="108"/>
      <c r="J280" s="108"/>
    </row>
    <row r="281">
      <c r="A281" s="109" t="str">
        <f>IFERROR(__xludf.DUMMYFUNCTION("""COMPUTED_VALUE"""),"6ºPav.-Circulação Monta-Carga")</f>
        <v>6ºPav.-Circulação Monta-Carga</v>
      </c>
      <c r="B281" s="108" t="str">
        <f>IFERROR(__xludf.DUMMYFUNCTION("""COMPUTED_VALUE"""),"6ºPav.")</f>
        <v>6ºPav.</v>
      </c>
      <c r="C281" s="108" t="str">
        <f>IFERROR(__xludf.DUMMYFUNCTION("""COMPUTED_VALUE"""),"Circulação Monta-Carga")</f>
        <v>Circulação Monta-Carga</v>
      </c>
      <c r="D281" s="108" t="str">
        <f>IFERROR(__xludf.DUMMYFUNCTION("""COMPUTED_VALUE"""),"6ºPav.")</f>
        <v>6ºPav.</v>
      </c>
      <c r="E281" s="108" t="str">
        <f>IFERROR(__xludf.DUMMYFUNCTION("""COMPUTED_VALUE"""),"B")</f>
        <v>B</v>
      </c>
      <c r="F281" s="108">
        <f>IFERROR(__xludf.DUMMYFUNCTION("""COMPUTED_VALUE"""),33.0)</f>
        <v>33</v>
      </c>
      <c r="G281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68ed87fd48e0425b89bbad150305d161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68ed87fd48e0425b89bbad150305d161</v>
      </c>
      <c r="H281" s="108" t="str">
        <f>IFERROR(__xludf.DUMMYFUNCTION("""COMPUTED_VALUE"""),"Farmácia")</f>
        <v>Farmácia</v>
      </c>
      <c r="I281" s="108"/>
      <c r="J281" s="108"/>
    </row>
    <row r="282">
      <c r="A282" s="109" t="str">
        <f>IFERROR(__xludf.DUMMYFUNCTION("""COMPUTED_VALUE"""),"6ºPav.-Corredor Central Setor A")</f>
        <v>6ºPav.-Corredor Central Setor A</v>
      </c>
      <c r="B282" s="108" t="str">
        <f>IFERROR(__xludf.DUMMYFUNCTION("""COMPUTED_VALUE"""),"6ºPav.")</f>
        <v>6ºPav.</v>
      </c>
      <c r="C282" s="108" t="str">
        <f>IFERROR(__xludf.DUMMYFUNCTION("""COMPUTED_VALUE"""),"Corredor Central Setor A")</f>
        <v>Corredor Central Setor A</v>
      </c>
      <c r="D282" s="108" t="str">
        <f>IFERROR(__xludf.DUMMYFUNCTION("""COMPUTED_VALUE"""),"6ºPav.")</f>
        <v>6ºPav.</v>
      </c>
      <c r="E282" s="108" t="str">
        <f>IFERROR(__xludf.DUMMYFUNCTION("""COMPUTED_VALUE"""),"A")</f>
        <v>A</v>
      </c>
      <c r="F282" s="108">
        <f>IFERROR(__xludf.DUMMYFUNCTION("""COMPUTED_VALUE"""),12.0)</f>
        <v>12</v>
      </c>
      <c r="G282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commentId=urn:adsk.commen"&amp;"ts:social.comment:2a836f909ca44bdfb6a3d7de81b142c1&amp;showComments=1&amp;guid=6882be48-6626-5238-d3df-94e9f0a0019d")</f>
        <v>https://myhub.autodesk360.com/ue29d95bb/g/projects/20210514412106331/data/dXJuOmFkc2sud2lwcHJvZDpmcy5mb2xkZXI6Y28ucU04eGNtQzdReXliS0NURmJQYUFTQQ/dXJuOmFkc2sud2lwcHJvZDpkbS5saW5lYWdlOlIxcW9GQjZOUVVTSXcyeEtSdDd2dGc/viewer?version=1&amp;commentId=urn:adsk.comments:social.comment:2a836f909ca44bdfb6a3d7de81b142c1&amp;showComments=1&amp;guid=6882be48-6626-5238-d3df-94e9f0a0019d</v>
      </c>
      <c r="H282" s="108" t="str">
        <f>IFERROR(__xludf.DUMMYFUNCTION("""COMPUTED_VALUE"""),"Circulação / Corredores")</f>
        <v>Circulação / Corredores</v>
      </c>
      <c r="I282" s="109" t="str">
        <f>IFERROR(__xludf.DUMMYFUNCTION("""COMPUTED_VALUE"""),"https://photos.google.com/search/6%C2%BAPav.-Corredor%20Central%20Setor%20A")</f>
        <v>https://photos.google.com/search/6%C2%BAPav.-Corredor%20Central%20Setor%20A</v>
      </c>
      <c r="J282" s="108"/>
    </row>
    <row r="283">
      <c r="A283" s="109" t="str">
        <f>IFERROR(__xludf.DUMMYFUNCTION("""COMPUTED_VALUE"""),"6ºPav.-Corredor Central Setor B")</f>
        <v>6ºPav.-Corredor Central Setor B</v>
      </c>
      <c r="B283" s="108" t="str">
        <f>IFERROR(__xludf.DUMMYFUNCTION("""COMPUTED_VALUE"""),"6ºPav.")</f>
        <v>6ºPav.</v>
      </c>
      <c r="C283" s="108" t="str">
        <f>IFERROR(__xludf.DUMMYFUNCTION("""COMPUTED_VALUE"""),"Corredor Central Setor B")</f>
        <v>Corredor Central Setor B</v>
      </c>
      <c r="D283" s="108" t="str">
        <f>IFERROR(__xludf.DUMMYFUNCTION("""COMPUTED_VALUE"""),"6ºPav.")</f>
        <v>6ºPav.</v>
      </c>
      <c r="E283" s="108" t="str">
        <f>IFERROR(__xludf.DUMMYFUNCTION("""COMPUTED_VALUE"""),"B")</f>
        <v>B</v>
      </c>
      <c r="F283" s="108">
        <f>IFERROR(__xludf.DUMMYFUNCTION("""COMPUTED_VALUE"""),13.0)</f>
        <v>13</v>
      </c>
      <c r="G283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commentId=urn:adsk.commen"&amp;"ts:social.comment:05ea34c7a56545769ceff2062c506071&amp;showComments=1&amp;guid=6882be48-6626-5238-d3df-94e9f0a0019d")</f>
        <v>https://myhub.autodesk360.com/ue29d95bb/g/projects/20210514412106331/data/dXJuOmFkc2sud2lwcHJvZDpmcy5mb2xkZXI6Y28ucU04eGNtQzdReXliS0NURmJQYUFTQQ/dXJuOmFkc2sud2lwcHJvZDpkbS5saW5lYWdlOlIxcW9GQjZOUVVTSXcyeEtSdDd2dGc/viewer?version=1&amp;commentId=urn:adsk.comments:social.comment:05ea34c7a56545769ceff2062c506071&amp;showComments=1&amp;guid=6882be48-6626-5238-d3df-94e9f0a0019d</v>
      </c>
      <c r="H283" s="108" t="str">
        <f>IFERROR(__xludf.DUMMYFUNCTION("""COMPUTED_VALUE"""),"Circulação / Corredores")</f>
        <v>Circulação / Corredores</v>
      </c>
      <c r="I283" s="109" t="str">
        <f>IFERROR(__xludf.DUMMYFUNCTION("""COMPUTED_VALUE"""),"https://photos.google.com/search/6%C2%BAPav.-Corredor%20Central%20Setor%20B")</f>
        <v>https://photos.google.com/search/6%C2%BAPav.-Corredor%20Central%20Setor%20B</v>
      </c>
      <c r="J283" s="108"/>
    </row>
    <row r="284">
      <c r="A284" s="109" t="str">
        <f>IFERROR(__xludf.DUMMYFUNCTION("""COMPUTED_VALUE"""),"6ºPav.-Depósito")</f>
        <v>6ºPav.-Depósito</v>
      </c>
      <c r="B284" s="108" t="str">
        <f>IFERROR(__xludf.DUMMYFUNCTION("""COMPUTED_VALUE"""),"6ºPav.")</f>
        <v>6ºPav.</v>
      </c>
      <c r="C284" s="108" t="str">
        <f>IFERROR(__xludf.DUMMYFUNCTION("""COMPUTED_VALUE"""),"Depósito")</f>
        <v>Depósito</v>
      </c>
      <c r="D284" s="108" t="str">
        <f>IFERROR(__xludf.DUMMYFUNCTION("""COMPUTED_VALUE"""),"6ºPav.")</f>
        <v>6ºPav.</v>
      </c>
      <c r="E284" s="108" t="str">
        <f>IFERROR(__xludf.DUMMYFUNCTION("""COMPUTED_VALUE"""),"A")</f>
        <v>A</v>
      </c>
      <c r="F284" s="108">
        <f>IFERROR(__xludf.DUMMYFUNCTION("""COMPUTED_VALUE"""),44.0)</f>
        <v>44</v>
      </c>
      <c r="G284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commentId=urn:adsk.commen"&amp;"ts:social.comment:505a539655674689a8632cb60ba9fdc3&amp;showComments=1&amp;guid=6882be48-6626-5238-d3df-94e9f0a0019d")</f>
        <v>https://myhub.autodesk360.com/ue29d95bb/g/projects/20210514412106331/data/dXJuOmFkc2sud2lwcHJvZDpmcy5mb2xkZXI6Y28ucU04eGNtQzdReXliS0NURmJQYUFTQQ/dXJuOmFkc2sud2lwcHJvZDpkbS5saW5lYWdlOlIxcW9GQjZOUVVTSXcyeEtSdDd2dGc/viewer?version=1&amp;commentId=urn:adsk.comments:social.comment:505a539655674689a8632cb60ba9fdc3&amp;showComments=1&amp;guid=6882be48-6626-5238-d3df-94e9f0a0019d</v>
      </c>
      <c r="H284" s="108" t="str">
        <f>IFERROR(__xludf.DUMMYFUNCTION("""COMPUTED_VALUE"""),"Depósito")</f>
        <v>Depósito</v>
      </c>
      <c r="I284" s="108"/>
      <c r="J284" s="108"/>
    </row>
    <row r="285">
      <c r="A285" s="109" t="str">
        <f>IFERROR(__xludf.DUMMYFUNCTION("""COMPUTED_VALUE"""),"6ºPav.-Depósito Temporário de Resíduos")</f>
        <v>6ºPav.-Depósito Temporário de Resíduos</v>
      </c>
      <c r="B285" s="108" t="str">
        <f>IFERROR(__xludf.DUMMYFUNCTION("""COMPUTED_VALUE"""),"6ºPav.")</f>
        <v>6ºPav.</v>
      </c>
      <c r="C285" s="108" t="str">
        <f>IFERROR(__xludf.DUMMYFUNCTION("""COMPUTED_VALUE"""),"Depósito Temporário de Resíduos")</f>
        <v>Depósito Temporário de Resíduos</v>
      </c>
      <c r="D285" s="108" t="str">
        <f>IFERROR(__xludf.DUMMYFUNCTION("""COMPUTED_VALUE"""),"6ºPav.")</f>
        <v>6ºPav.</v>
      </c>
      <c r="E285" s="108" t="str">
        <f>IFERROR(__xludf.DUMMYFUNCTION("""COMPUTED_VALUE"""),"A")</f>
        <v>A</v>
      </c>
      <c r="F285" s="108">
        <f>IFERROR(__xludf.DUMMYFUNCTION("""COMPUTED_VALUE"""),11.0)</f>
        <v>11</v>
      </c>
      <c r="G285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commentId=urn:adsk.commen"&amp;"ts:social.comment:33094f1079654999871dcf36fa5e8f0b&amp;showComments=1&amp;guid=6882be48-6626-5238-d3df-94e9f0a0019d")</f>
        <v>https://myhub.autodesk360.com/ue29d95bb/g/projects/20210514412106331/data/dXJuOmFkc2sud2lwcHJvZDpmcy5mb2xkZXI6Y28ucU04eGNtQzdReXliS0NURmJQYUFTQQ/dXJuOmFkc2sud2lwcHJvZDpkbS5saW5lYWdlOlIxcW9GQjZOUVVTSXcyeEtSdDd2dGc/viewer?version=1&amp;commentId=urn:adsk.comments:social.comment:33094f1079654999871dcf36fa5e8f0b&amp;showComments=1&amp;guid=6882be48-6626-5238-d3df-94e9f0a0019d</v>
      </c>
      <c r="H285" s="108" t="str">
        <f>IFERROR(__xludf.DUMMYFUNCTION("""COMPUTED_VALUE"""),"Depósito")</f>
        <v>Depósito</v>
      </c>
      <c r="I285" s="109" t="str">
        <f>IFERROR(__xludf.DUMMYFUNCTION("""COMPUTED_VALUE"""),"https://photos.google.com/search/6%C2%BAPav.-Dep%C3%B3sito%20Tempor%C3%A1rio%20de%20Res%C3%ADduos")</f>
        <v>https://photos.google.com/search/6%C2%BAPav.-Dep%C3%B3sito%20Tempor%C3%A1rio%20de%20Res%C3%ADduos</v>
      </c>
      <c r="J285" s="108"/>
    </row>
    <row r="286">
      <c r="A286" s="109" t="str">
        <f>IFERROR(__xludf.DUMMYFUNCTION("""COMPUTED_VALUE"""),"6ºPav.-DML")</f>
        <v>6ºPav.-DML</v>
      </c>
      <c r="B286" s="108" t="str">
        <f>IFERROR(__xludf.DUMMYFUNCTION("""COMPUTED_VALUE"""),"6ºPav.")</f>
        <v>6ºPav.</v>
      </c>
      <c r="C286" s="108" t="str">
        <f>IFERROR(__xludf.DUMMYFUNCTION("""COMPUTED_VALUE"""),"DML")</f>
        <v>DML</v>
      </c>
      <c r="D286" s="108" t="str">
        <f>IFERROR(__xludf.DUMMYFUNCTION("""COMPUTED_VALUE"""),"6ºPav.")</f>
        <v>6ºPav.</v>
      </c>
      <c r="E286" s="108" t="str">
        <f>IFERROR(__xludf.DUMMYFUNCTION("""COMPUTED_VALUE"""),"B")</f>
        <v>B</v>
      </c>
      <c r="F286" s="108">
        <f>IFERROR(__xludf.DUMMYFUNCTION("""COMPUTED_VALUE"""),47.0)</f>
        <v>47</v>
      </c>
      <c r="G286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0417d54895334cb8a0dedc641cd1ca17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0417d54895334cb8a0dedc641cd1ca17</v>
      </c>
      <c r="H286" s="108" t="str">
        <f>IFERROR(__xludf.DUMMYFUNCTION("""COMPUTED_VALUE"""),"Depósito")</f>
        <v>Depósito</v>
      </c>
      <c r="I286" s="108"/>
      <c r="J286" s="108"/>
    </row>
    <row r="287">
      <c r="A287" s="109" t="str">
        <f>IFERROR(__xludf.DUMMYFUNCTION("""COMPUTED_VALUE"""),"6ºPav.-Escada Prova de Fogo Setor B")</f>
        <v>6ºPav.-Escada Prova de Fogo Setor B</v>
      </c>
      <c r="B287" s="108" t="str">
        <f>IFERROR(__xludf.DUMMYFUNCTION("""COMPUTED_VALUE"""),"6ºPav.")</f>
        <v>6ºPav.</v>
      </c>
      <c r="C287" s="108" t="str">
        <f>IFERROR(__xludf.DUMMYFUNCTION("""COMPUTED_VALUE"""),"Escada Prova de Fogo Setor B")</f>
        <v>Escada Prova de Fogo Setor B</v>
      </c>
      <c r="D287" s="108" t="str">
        <f>IFERROR(__xludf.DUMMYFUNCTION("""COMPUTED_VALUE"""),"6ºPav.")</f>
        <v>6ºPav.</v>
      </c>
      <c r="E287" s="108" t="str">
        <f>IFERROR(__xludf.DUMMYFUNCTION("""COMPUTED_VALUE"""),"B")</f>
        <v>B</v>
      </c>
      <c r="F287" s="108">
        <f>IFERROR(__xludf.DUMMYFUNCTION("""COMPUTED_VALUE"""),46.0)</f>
        <v>46</v>
      </c>
      <c r="G287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commentId=urn:adsk.commen"&amp;"ts:social.comment:ea1801b492a54a66b588da20dc909762&amp;showComments=1&amp;guid=6882be48-6626-5238-d3df-94e9f0a0019d")</f>
        <v>https://myhub.autodesk360.com/ue29d95bb/g/projects/20210514412106331/data/dXJuOmFkc2sud2lwcHJvZDpmcy5mb2xkZXI6Y28ucU04eGNtQzdReXliS0NURmJQYUFTQQ/dXJuOmFkc2sud2lwcHJvZDpkbS5saW5lYWdlOlIxcW9GQjZOUVVTSXcyeEtSdDd2dGc/viewer?version=1&amp;commentId=urn:adsk.comments:social.comment:ea1801b492a54a66b588da20dc909762&amp;showComments=1&amp;guid=6882be48-6626-5238-d3df-94e9f0a0019d</v>
      </c>
      <c r="H287" s="108" t="str">
        <f>IFERROR(__xludf.DUMMYFUNCTION("""COMPUTED_VALUE"""),"Escadas")</f>
        <v>Escadas</v>
      </c>
      <c r="I287" s="108"/>
      <c r="J287" s="108"/>
    </row>
    <row r="288">
      <c r="A288" s="109" t="str">
        <f>IFERROR(__xludf.DUMMYFUNCTION("""COMPUTED_VALUE"""),"6ºPav.-Estar Funcionários")</f>
        <v>6ºPav.-Estar Funcionários</v>
      </c>
      <c r="B288" s="108" t="str">
        <f>IFERROR(__xludf.DUMMYFUNCTION("""COMPUTED_VALUE"""),"6ºPav.")</f>
        <v>6ºPav.</v>
      </c>
      <c r="C288" s="108" t="str">
        <f>IFERROR(__xludf.DUMMYFUNCTION("""COMPUTED_VALUE"""),"Estar Funcionários")</f>
        <v>Estar Funcionários</v>
      </c>
      <c r="D288" s="108" t="str">
        <f>IFERROR(__xludf.DUMMYFUNCTION("""COMPUTED_VALUE"""),"6ºPav.")</f>
        <v>6ºPav.</v>
      </c>
      <c r="E288" s="108" t="str">
        <f>IFERROR(__xludf.DUMMYFUNCTION("""COMPUTED_VALUE"""),"B")</f>
        <v>B</v>
      </c>
      <c r="F288" s="108">
        <f>IFERROR(__xludf.DUMMYFUNCTION("""COMPUTED_VALUE"""),35.0)</f>
        <v>35</v>
      </c>
      <c r="G288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688b4ad00c9d4f828d4a7519a9a13970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688b4ad00c9d4f828d4a7519a9a13970</v>
      </c>
      <c r="H288" s="108" t="str">
        <f>IFERROR(__xludf.DUMMYFUNCTION("""COMPUTED_VALUE"""),"Outros")</f>
        <v>Outros</v>
      </c>
      <c r="I288" s="108"/>
      <c r="J288" s="108"/>
    </row>
    <row r="289">
      <c r="A289" s="109" t="str">
        <f>IFERROR(__xludf.DUMMYFUNCTION("""COMPUTED_VALUE"""),"6ºPav.-Hall Auditório")</f>
        <v>6ºPav.-Hall Auditório</v>
      </c>
      <c r="B289" s="108" t="str">
        <f>IFERROR(__xludf.DUMMYFUNCTION("""COMPUTED_VALUE"""),"6ºPav.")</f>
        <v>6ºPav.</v>
      </c>
      <c r="C289" s="108" t="str">
        <f>IFERROR(__xludf.DUMMYFUNCTION("""COMPUTED_VALUE"""),"Hall Auditório")</f>
        <v>Hall Auditório</v>
      </c>
      <c r="D289" s="108" t="str">
        <f>IFERROR(__xludf.DUMMYFUNCTION("""COMPUTED_VALUE"""),"6ºPav.")</f>
        <v>6ºPav.</v>
      </c>
      <c r="E289" s="108" t="str">
        <f>IFERROR(__xludf.DUMMYFUNCTION("""COMPUTED_VALUE"""),"A")</f>
        <v>A</v>
      </c>
      <c r="F289" s="108">
        <f>IFERROR(__xludf.DUMMYFUNCTION("""COMPUTED_VALUE"""),2.0)</f>
        <v>2</v>
      </c>
      <c r="G289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commentId=urn:adsk.commen"&amp;"ts:social.comment:39f08209f2f44911885934048989da98&amp;showComments=1&amp;guid=6882be48-6626-5238-d3df-94e9f0a0019d")</f>
        <v>https://myhub.autodesk360.com/ue29d95bb/g/projects/20210514412106331/data/dXJuOmFkc2sud2lwcHJvZDpmcy5mb2xkZXI6Y28ucU04eGNtQzdReXliS0NURmJQYUFTQQ/dXJuOmFkc2sud2lwcHJvZDpkbS5saW5lYWdlOlIxcW9GQjZOUVVTSXcyeEtSdDd2dGc/viewer?version=1&amp;commentId=urn:adsk.comments:social.comment:39f08209f2f44911885934048989da98&amp;showComments=1&amp;guid=6882be48-6626-5238-d3df-94e9f0a0019d</v>
      </c>
      <c r="H289" s="108" t="str">
        <f>IFERROR(__xludf.DUMMYFUNCTION("""COMPUTED_VALUE"""),"Hall")</f>
        <v>Hall</v>
      </c>
      <c r="I289" s="108"/>
      <c r="J289" s="108"/>
    </row>
    <row r="290">
      <c r="A290" s="109" t="str">
        <f>IFERROR(__xludf.DUMMYFUNCTION("""COMPUTED_VALUE"""),"6ºPav.-Hall Elevador Público")</f>
        <v>6ºPav.-Hall Elevador Público</v>
      </c>
      <c r="B290" s="108" t="str">
        <f>IFERROR(__xludf.DUMMYFUNCTION("""COMPUTED_VALUE"""),"6ºPav.")</f>
        <v>6ºPav.</v>
      </c>
      <c r="C290" s="108" t="str">
        <f>IFERROR(__xludf.DUMMYFUNCTION("""COMPUTED_VALUE"""),"Hall Elevador Público")</f>
        <v>Hall Elevador Público</v>
      </c>
      <c r="D290" s="108" t="str">
        <f>IFERROR(__xludf.DUMMYFUNCTION("""COMPUTED_VALUE"""),"6ºPav.")</f>
        <v>6ºPav.</v>
      </c>
      <c r="E290" s="108" t="str">
        <f>IFERROR(__xludf.DUMMYFUNCTION("""COMPUTED_VALUE"""),"A")</f>
        <v>A</v>
      </c>
      <c r="F290" s="108">
        <f>IFERROR(__xludf.DUMMYFUNCTION("""COMPUTED_VALUE"""),53.0)</f>
        <v>53</v>
      </c>
      <c r="G290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4866c1409b4a443a90ce96eb681b5b91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4866c1409b4a443a90ce96eb681b5b91</v>
      </c>
      <c r="H290" s="108" t="str">
        <f>IFERROR(__xludf.DUMMYFUNCTION("""COMPUTED_VALUE"""),"Circulação / Corredores")</f>
        <v>Circulação / Corredores</v>
      </c>
      <c r="I290" s="108"/>
      <c r="J290" s="108"/>
    </row>
    <row r="291">
      <c r="A291" s="109" t="str">
        <f>IFERROR(__xludf.DUMMYFUNCTION("""COMPUTED_VALUE"""),"6ºPav.-Hall Elevador Serviço")</f>
        <v>6ºPav.-Hall Elevador Serviço</v>
      </c>
      <c r="B291" s="108" t="str">
        <f>IFERROR(__xludf.DUMMYFUNCTION("""COMPUTED_VALUE"""),"6ºPav.")</f>
        <v>6ºPav.</v>
      </c>
      <c r="C291" s="108" t="str">
        <f>IFERROR(__xludf.DUMMYFUNCTION("""COMPUTED_VALUE"""),"Hall Elevador Serviço")</f>
        <v>Hall Elevador Serviço</v>
      </c>
      <c r="D291" s="108" t="str">
        <f>IFERROR(__xludf.DUMMYFUNCTION("""COMPUTED_VALUE"""),"6ºPav.")</f>
        <v>6ºPav.</v>
      </c>
      <c r="E291" s="108" t="str">
        <f>IFERROR(__xludf.DUMMYFUNCTION("""COMPUTED_VALUE"""),"B")</f>
        <v>B</v>
      </c>
      <c r="F291" s="108">
        <f>IFERROR(__xludf.DUMMYFUNCTION("""COMPUTED_VALUE"""),54.0)</f>
        <v>54</v>
      </c>
      <c r="G291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5a4d2f5cca0f44b68129d2935c15a136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5a4d2f5cca0f44b68129d2935c15a136</v>
      </c>
      <c r="H291" s="108" t="str">
        <f>IFERROR(__xludf.DUMMYFUNCTION("""COMPUTED_VALUE"""),"Circulação / Corredores")</f>
        <v>Circulação / Corredores</v>
      </c>
      <c r="I291" s="108"/>
      <c r="J291" s="108"/>
    </row>
    <row r="292">
      <c r="A292" s="109" t="str">
        <f>IFERROR(__xludf.DUMMYFUNCTION("""COMPUTED_VALUE"""),"6ºPav.-Repouso Funcionários")</f>
        <v>6ºPav.-Repouso Funcionários</v>
      </c>
      <c r="B292" s="108" t="str">
        <f>IFERROR(__xludf.DUMMYFUNCTION("""COMPUTED_VALUE"""),"6ºPav.")</f>
        <v>6ºPav.</v>
      </c>
      <c r="C292" s="108" t="str">
        <f>IFERROR(__xludf.DUMMYFUNCTION("""COMPUTED_VALUE"""),"Repouso Funcionários")</f>
        <v>Repouso Funcionários</v>
      </c>
      <c r="D292" s="108" t="str">
        <f>IFERROR(__xludf.DUMMYFUNCTION("""COMPUTED_VALUE"""),"6ºPav.")</f>
        <v>6ºPav.</v>
      </c>
      <c r="E292" s="108" t="str">
        <f>IFERROR(__xludf.DUMMYFUNCTION("""COMPUTED_VALUE"""),"B")</f>
        <v>B</v>
      </c>
      <c r="F292" s="108">
        <f>IFERROR(__xludf.DUMMYFUNCTION("""COMPUTED_VALUE"""),34.0)</f>
        <v>34</v>
      </c>
      <c r="G292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ca6629b8ef68466baa7b884cc853f096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ca6629b8ef68466baa7b884cc853f096</v>
      </c>
      <c r="H292" s="108" t="str">
        <f>IFERROR(__xludf.DUMMYFUNCTION("""COMPUTED_VALUE"""),"Outros")</f>
        <v>Outros</v>
      </c>
      <c r="I292" s="108"/>
      <c r="J292" s="108"/>
    </row>
    <row r="293">
      <c r="A293" s="109" t="str">
        <f>IFERROR(__xludf.DUMMYFUNCTION("""COMPUTED_VALUE"""),"6ºPav.-Sala Administrativa")</f>
        <v>6ºPav.-Sala Administrativa</v>
      </c>
      <c r="B293" s="108" t="str">
        <f>IFERROR(__xludf.DUMMYFUNCTION("""COMPUTED_VALUE"""),"6ºPav.")</f>
        <v>6ºPav.</v>
      </c>
      <c r="C293" s="108" t="str">
        <f>IFERROR(__xludf.DUMMYFUNCTION("""COMPUTED_VALUE"""),"Sala Administrativa")</f>
        <v>Sala Administrativa</v>
      </c>
      <c r="D293" s="108" t="str">
        <f>IFERROR(__xludf.DUMMYFUNCTION("""COMPUTED_VALUE"""),"6ºPav.")</f>
        <v>6ºPav.</v>
      </c>
      <c r="E293" s="108" t="str">
        <f>IFERROR(__xludf.DUMMYFUNCTION("""COMPUTED_VALUE"""),"B")</f>
        <v>B</v>
      </c>
      <c r="F293" s="108">
        <f>IFERROR(__xludf.DUMMYFUNCTION("""COMPUTED_VALUE"""),30.0)</f>
        <v>30</v>
      </c>
      <c r="G293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81c71b0fa0c74d6381d3f48832179176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81c71b0fa0c74d6381d3f48832179176</v>
      </c>
      <c r="H293" s="108" t="str">
        <f>IFERROR(__xludf.DUMMYFUNCTION("""COMPUTED_VALUE"""),"Farmácia")</f>
        <v>Farmácia</v>
      </c>
      <c r="I293" s="108"/>
      <c r="J293" s="108"/>
    </row>
    <row r="294">
      <c r="A294" s="109" t="str">
        <f>IFERROR(__xludf.DUMMYFUNCTION("""COMPUTED_VALUE"""),"6ºPav.-Sala Ar Condicionado - CM6.1")</f>
        <v>6ºPav.-Sala Ar Condicionado - CM6.1</v>
      </c>
      <c r="B294" s="108" t="str">
        <f>IFERROR(__xludf.DUMMYFUNCTION("""COMPUTED_VALUE"""),"6ºPav.")</f>
        <v>6ºPav.</v>
      </c>
      <c r="C294" s="108" t="str">
        <f>IFERROR(__xludf.DUMMYFUNCTION("""COMPUTED_VALUE"""),"Sala Ar Condicionado - CM6.1")</f>
        <v>Sala Ar Condicionado - CM6.1</v>
      </c>
      <c r="D294" s="108" t="str">
        <f>IFERROR(__xludf.DUMMYFUNCTION("""COMPUTED_VALUE"""),"6ºPav.")</f>
        <v>6ºPav.</v>
      </c>
      <c r="E294" s="108" t="str">
        <f>IFERROR(__xludf.DUMMYFUNCTION("""COMPUTED_VALUE"""),"A")</f>
        <v>A</v>
      </c>
      <c r="F294" s="108">
        <f>IFERROR(__xludf.DUMMYFUNCTION("""COMPUTED_VALUE"""),5.0)</f>
        <v>5</v>
      </c>
      <c r="G294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commentId=urn:adsk.commen"&amp;"ts:social.comment:06120bc0012845b0a7f3e3253ffe1ccb&amp;showComments=1&amp;guid=6882be48-6626-5238-d3df-94e9f0a0019d")</f>
        <v>https://myhub.autodesk360.com/ue29d95bb/g/projects/20210514412106331/data/dXJuOmFkc2sud2lwcHJvZDpmcy5mb2xkZXI6Y28ucU04eGNtQzdReXliS0NURmJQYUFTQQ/dXJuOmFkc2sud2lwcHJvZDpkbS5saW5lYWdlOlIxcW9GQjZOUVVTSXcyeEtSdDd2dGc/viewer?version=1&amp;commentId=urn:adsk.comments:social.comment:06120bc0012845b0a7f3e3253ffe1ccb&amp;showComments=1&amp;guid=6882be48-6626-5238-d3df-94e9f0a0019d</v>
      </c>
      <c r="H294" s="108" t="str">
        <f>IFERROR(__xludf.DUMMYFUNCTION("""COMPUTED_VALUE"""),"Sala Máquina")</f>
        <v>Sala Máquina</v>
      </c>
      <c r="I294" s="109" t="str">
        <f>IFERROR(__xludf.DUMMYFUNCTION("""COMPUTED_VALUE"""),"https://photos.google.com/search/6%C2%BAPav.-Sala%20Ar%20Condicionado%20-%20CM6.1")</f>
        <v>https://photos.google.com/search/6%C2%BAPav.-Sala%20Ar%20Condicionado%20-%20CM6.1</v>
      </c>
      <c r="J294" s="108"/>
    </row>
    <row r="295">
      <c r="A295" s="109" t="str">
        <f>IFERROR(__xludf.DUMMYFUNCTION("""COMPUTED_VALUE"""),"6ºPav.-Sala Ar Condicionado - CM6.4")</f>
        <v>6ºPav.-Sala Ar Condicionado - CM6.4</v>
      </c>
      <c r="B295" s="108" t="str">
        <f>IFERROR(__xludf.DUMMYFUNCTION("""COMPUTED_VALUE"""),"6ºPav.")</f>
        <v>6ºPav.</v>
      </c>
      <c r="C295" s="108" t="str">
        <f>IFERROR(__xludf.DUMMYFUNCTION("""COMPUTED_VALUE"""),"Sala Ar Condicionado - CM6.4")</f>
        <v>Sala Ar Condicionado - CM6.4</v>
      </c>
      <c r="D295" s="108" t="str">
        <f>IFERROR(__xludf.DUMMYFUNCTION("""COMPUTED_VALUE"""),"6ºPav.")</f>
        <v>6ºPav.</v>
      </c>
      <c r="E295" s="108" t="str">
        <f>IFERROR(__xludf.DUMMYFUNCTION("""COMPUTED_VALUE"""),"B")</f>
        <v>B</v>
      </c>
      <c r="F295" s="108">
        <f>IFERROR(__xludf.DUMMYFUNCTION("""COMPUTED_VALUE"""),8.0)</f>
        <v>8</v>
      </c>
      <c r="G295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commentId=urn:adsk.commen"&amp;"ts:social.comment:52b73aa7547f40078311151943ac1068&amp;showComments=1&amp;guid=6882be48-6626-5238-d3df-94e9f0a0019d")</f>
        <v>https://myhub.autodesk360.com/ue29d95bb/g/projects/20210514412106331/data/dXJuOmFkc2sud2lwcHJvZDpmcy5mb2xkZXI6Y28ucU04eGNtQzdReXliS0NURmJQYUFTQQ/dXJuOmFkc2sud2lwcHJvZDpkbS5saW5lYWdlOlIxcW9GQjZOUVVTSXcyeEtSdDd2dGc/viewer?version=1&amp;commentId=urn:adsk.comments:social.comment:52b73aa7547f40078311151943ac1068&amp;showComments=1&amp;guid=6882be48-6626-5238-d3df-94e9f0a0019d</v>
      </c>
      <c r="H295" s="108" t="str">
        <f>IFERROR(__xludf.DUMMYFUNCTION("""COMPUTED_VALUE"""),"Sala Máquina")</f>
        <v>Sala Máquina</v>
      </c>
      <c r="I295" s="109" t="str">
        <f>IFERROR(__xludf.DUMMYFUNCTION("""COMPUTED_VALUE"""),"https://photos.google.com/search/6%C2%BAPav.-Sala%20Ar%20Condicionado%20-%20CM6.4")</f>
        <v>https://photos.google.com/search/6%C2%BAPav.-Sala%20Ar%20Condicionado%20-%20CM6.4</v>
      </c>
      <c r="J295" s="108"/>
    </row>
    <row r="296">
      <c r="A296" s="109" t="str">
        <f>IFERROR(__xludf.DUMMYFUNCTION("""COMPUTED_VALUE"""),"6ºPav.-Sala de Aula 1")</f>
        <v>6ºPav.-Sala de Aula 1</v>
      </c>
      <c r="B296" s="108" t="str">
        <f>IFERROR(__xludf.DUMMYFUNCTION("""COMPUTED_VALUE"""),"6ºPav.")</f>
        <v>6ºPav.</v>
      </c>
      <c r="C296" s="108" t="str">
        <f>IFERROR(__xludf.DUMMYFUNCTION("""COMPUTED_VALUE"""),"Sala de Aula 1")</f>
        <v>Sala de Aula 1</v>
      </c>
      <c r="D296" s="108" t="str">
        <f>IFERROR(__xludf.DUMMYFUNCTION("""COMPUTED_VALUE"""),"6ºPav.")</f>
        <v>6ºPav.</v>
      </c>
      <c r="E296" s="108" t="str">
        <f>IFERROR(__xludf.DUMMYFUNCTION("""COMPUTED_VALUE"""),"A")</f>
        <v>A</v>
      </c>
      <c r="F296" s="108">
        <f>IFERROR(__xludf.DUMMYFUNCTION("""COMPUTED_VALUE"""),16.0)</f>
        <v>16</v>
      </c>
      <c r="G296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8805ad3446e247f5946bebd338dcd5e2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8805ad3446e247f5946bebd338dcd5e2</v>
      </c>
      <c r="H296" s="108" t="str">
        <f>IFERROR(__xludf.DUMMYFUNCTION("""COMPUTED_VALUE"""),"Outros")</f>
        <v>Outros</v>
      </c>
      <c r="I296" s="108"/>
      <c r="J296" s="108"/>
    </row>
    <row r="297">
      <c r="A297" s="109" t="str">
        <f>IFERROR(__xludf.DUMMYFUNCTION("""COMPUTED_VALUE"""),"6ºPav.-Sala de Aula 2")</f>
        <v>6ºPav.-Sala de Aula 2</v>
      </c>
      <c r="B297" s="108" t="str">
        <f>IFERROR(__xludf.DUMMYFUNCTION("""COMPUTED_VALUE"""),"6ºPav.")</f>
        <v>6ºPav.</v>
      </c>
      <c r="C297" s="108" t="str">
        <f>IFERROR(__xludf.DUMMYFUNCTION("""COMPUTED_VALUE"""),"Sala de Aula 2")</f>
        <v>Sala de Aula 2</v>
      </c>
      <c r="D297" s="108" t="str">
        <f>IFERROR(__xludf.DUMMYFUNCTION("""COMPUTED_VALUE"""),"6ºPav.")</f>
        <v>6ºPav.</v>
      </c>
      <c r="E297" s="108" t="str">
        <f>IFERROR(__xludf.DUMMYFUNCTION("""COMPUTED_VALUE"""),"A")</f>
        <v>A</v>
      </c>
      <c r="F297" s="108">
        <f>IFERROR(__xludf.DUMMYFUNCTION("""COMPUTED_VALUE"""),17.0)</f>
        <v>17</v>
      </c>
      <c r="G297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28e9d9816a5043aaa510e526f126a889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28e9d9816a5043aaa510e526f126a889</v>
      </c>
      <c r="H297" s="108" t="str">
        <f>IFERROR(__xludf.DUMMYFUNCTION("""COMPUTED_VALUE"""),"Outros")</f>
        <v>Outros</v>
      </c>
      <c r="I297" s="108"/>
      <c r="J297" s="108"/>
    </row>
    <row r="298">
      <c r="A298" s="109" t="str">
        <f>IFERROR(__xludf.DUMMYFUNCTION("""COMPUTED_VALUE"""),"6ºPav.-Sala de Aula 3")</f>
        <v>6ºPav.-Sala de Aula 3</v>
      </c>
      <c r="B298" s="108" t="str">
        <f>IFERROR(__xludf.DUMMYFUNCTION("""COMPUTED_VALUE"""),"6ºPav.")</f>
        <v>6ºPav.</v>
      </c>
      <c r="C298" s="108" t="str">
        <f>IFERROR(__xludf.DUMMYFUNCTION("""COMPUTED_VALUE"""),"Sala de Aula 3")</f>
        <v>Sala de Aula 3</v>
      </c>
      <c r="D298" s="108" t="str">
        <f>IFERROR(__xludf.DUMMYFUNCTION("""COMPUTED_VALUE"""),"6ºPav.")</f>
        <v>6ºPav.</v>
      </c>
      <c r="E298" s="108" t="str">
        <f>IFERROR(__xludf.DUMMYFUNCTION("""COMPUTED_VALUE"""),"A")</f>
        <v>A</v>
      </c>
      <c r="F298" s="108">
        <f>IFERROR(__xludf.DUMMYFUNCTION("""COMPUTED_VALUE"""),18.0)</f>
        <v>18</v>
      </c>
      <c r="G298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526afaf886ff4f0697d11a123e5cd835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526afaf886ff4f0697d11a123e5cd835</v>
      </c>
      <c r="H298" s="108" t="str">
        <f>IFERROR(__xludf.DUMMYFUNCTION("""COMPUTED_VALUE"""),"Outros")</f>
        <v>Outros</v>
      </c>
      <c r="I298" s="108"/>
      <c r="J298" s="108"/>
    </row>
    <row r="299">
      <c r="A299" s="109" t="str">
        <f>IFERROR(__xludf.DUMMYFUNCTION("""COMPUTED_VALUE"""),"6ºPav.-Sala de Duto - CM6.2")</f>
        <v>6ºPav.-Sala de Duto - CM6.2</v>
      </c>
      <c r="B299" s="108" t="str">
        <f>IFERROR(__xludf.DUMMYFUNCTION("""COMPUTED_VALUE"""),"6ºPav.")</f>
        <v>6ºPav.</v>
      </c>
      <c r="C299" s="108" t="str">
        <f>IFERROR(__xludf.DUMMYFUNCTION("""COMPUTED_VALUE"""),"Sala de Duto - CM6.2")</f>
        <v>Sala de Duto - CM6.2</v>
      </c>
      <c r="D299" s="108" t="str">
        <f>IFERROR(__xludf.DUMMYFUNCTION("""COMPUTED_VALUE"""),"6ºPav.")</f>
        <v>6ºPav.</v>
      </c>
      <c r="E299" s="108" t="str">
        <f>IFERROR(__xludf.DUMMYFUNCTION("""COMPUTED_VALUE"""),"A")</f>
        <v>A</v>
      </c>
      <c r="F299" s="108">
        <f>IFERROR(__xludf.DUMMYFUNCTION("""COMPUTED_VALUE"""),6.0)</f>
        <v>6</v>
      </c>
      <c r="G299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commentId=urn:adsk.commen"&amp;"ts:social.comment:1752a74566cd4c96bdfd5bbea676ad01&amp;showComments=1&amp;guid=6882be48-6626-5238-d3df-94e9f0a0019d")</f>
        <v>https://myhub.autodesk360.com/ue29d95bb/g/projects/20210514412106331/data/dXJuOmFkc2sud2lwcHJvZDpmcy5mb2xkZXI6Y28ucU04eGNtQzdReXliS0NURmJQYUFTQQ/dXJuOmFkc2sud2lwcHJvZDpkbS5saW5lYWdlOlIxcW9GQjZOUVVTSXcyeEtSdDd2dGc/viewer?version=1&amp;commentId=urn:adsk.comments:social.comment:1752a74566cd4c96bdfd5bbea676ad01&amp;showComments=1&amp;guid=6882be48-6626-5238-d3df-94e9f0a0019d</v>
      </c>
      <c r="H299" s="108" t="str">
        <f>IFERROR(__xludf.DUMMYFUNCTION("""COMPUTED_VALUE"""),"Sala Máquina")</f>
        <v>Sala Máquina</v>
      </c>
      <c r="I299" s="109" t="str">
        <f>IFERROR(__xludf.DUMMYFUNCTION("""COMPUTED_VALUE"""),"https://photos.google.com/search/6%C2%BAPav.-Sala%20de%20Duto%20-%20CM6.2")</f>
        <v>https://photos.google.com/search/6%C2%BAPav.-Sala%20de%20Duto%20-%20CM6.2</v>
      </c>
      <c r="J299" s="108"/>
    </row>
    <row r="300">
      <c r="A300" s="109" t="str">
        <f>IFERROR(__xludf.DUMMYFUNCTION("""COMPUTED_VALUE"""),"6ºPav.-Sala de Duto - CM6.3")</f>
        <v>6ºPav.-Sala de Duto - CM6.3</v>
      </c>
      <c r="B300" s="108" t="str">
        <f>IFERROR(__xludf.DUMMYFUNCTION("""COMPUTED_VALUE"""),"6ºPav.")</f>
        <v>6ºPav.</v>
      </c>
      <c r="C300" s="108" t="str">
        <f>IFERROR(__xludf.DUMMYFUNCTION("""COMPUTED_VALUE"""),"Sala de Duto - CM6.3")</f>
        <v>Sala de Duto - CM6.3</v>
      </c>
      <c r="D300" s="108" t="str">
        <f>IFERROR(__xludf.DUMMYFUNCTION("""COMPUTED_VALUE"""),"6ºPav.")</f>
        <v>6ºPav.</v>
      </c>
      <c r="E300" s="108" t="str">
        <f>IFERROR(__xludf.DUMMYFUNCTION("""COMPUTED_VALUE"""),"A")</f>
        <v>A</v>
      </c>
      <c r="F300" s="108">
        <f>IFERROR(__xludf.DUMMYFUNCTION("""COMPUTED_VALUE"""),7.0)</f>
        <v>7</v>
      </c>
      <c r="G300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commentId=urn:adsk.commen"&amp;"ts:social.comment:1b326876592847d78846432af13533f7&amp;showComments=1&amp;guid=6882be48-6626-5238-d3df-94e9f0a0019d")</f>
        <v>https://myhub.autodesk360.com/ue29d95bb/g/projects/20210514412106331/data/dXJuOmFkc2sud2lwcHJvZDpmcy5mb2xkZXI6Y28ucU04eGNtQzdReXliS0NURmJQYUFTQQ/dXJuOmFkc2sud2lwcHJvZDpkbS5saW5lYWdlOlIxcW9GQjZOUVVTSXcyeEtSdDd2dGc/viewer?version=1&amp;commentId=urn:adsk.comments:social.comment:1b326876592847d78846432af13533f7&amp;showComments=1&amp;guid=6882be48-6626-5238-d3df-94e9f0a0019d</v>
      </c>
      <c r="H300" s="108" t="str">
        <f>IFERROR(__xludf.DUMMYFUNCTION("""COMPUTED_VALUE"""),"Sala Máquina")</f>
        <v>Sala Máquina</v>
      </c>
      <c r="I300" s="109" t="str">
        <f>IFERROR(__xludf.DUMMYFUNCTION("""COMPUTED_VALUE"""),"https://photos.google.com/search/6%C2%BAPav.-Sala%20de%20Duto%20-%20CM6.3")</f>
        <v>https://photos.google.com/search/6%C2%BAPav.-Sala%20de%20Duto%20-%20CM6.3</v>
      </c>
      <c r="J300" s="108"/>
    </row>
    <row r="301">
      <c r="A301" s="109" t="str">
        <f>IFERROR(__xludf.DUMMYFUNCTION("""COMPUTED_VALUE"""),"6ºPav.-Sala de Duto - CM6.5")</f>
        <v>6ºPav.-Sala de Duto - CM6.5</v>
      </c>
      <c r="B301" s="108" t="str">
        <f>IFERROR(__xludf.DUMMYFUNCTION("""COMPUTED_VALUE"""),"6ºPav.")</f>
        <v>6ºPav.</v>
      </c>
      <c r="C301" s="108" t="str">
        <f>IFERROR(__xludf.DUMMYFUNCTION("""COMPUTED_VALUE"""),"Sala de Duto - CM6.5")</f>
        <v>Sala de Duto - CM6.5</v>
      </c>
      <c r="D301" s="108" t="str">
        <f>IFERROR(__xludf.DUMMYFUNCTION("""COMPUTED_VALUE"""),"6ºPav.")</f>
        <v>6ºPav.</v>
      </c>
      <c r="E301" s="108" t="str">
        <f>IFERROR(__xludf.DUMMYFUNCTION("""COMPUTED_VALUE"""),"B")</f>
        <v>B</v>
      </c>
      <c r="F301" s="108">
        <f>IFERROR(__xludf.DUMMYFUNCTION("""COMPUTED_VALUE"""),9.0)</f>
        <v>9</v>
      </c>
      <c r="G301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commentId=urn:adsk.commen"&amp;"ts:social.comment:35df6498dab9456caf9394e2a0f7f563&amp;showComments=1&amp;guid=6882be48-6626-5238-d3df-94e9f0a0019d")</f>
        <v>https://myhub.autodesk360.com/ue29d95bb/g/projects/20210514412106331/data/dXJuOmFkc2sud2lwcHJvZDpmcy5mb2xkZXI6Y28ucU04eGNtQzdReXliS0NURmJQYUFTQQ/dXJuOmFkc2sud2lwcHJvZDpkbS5saW5lYWdlOlIxcW9GQjZOUVVTSXcyeEtSdDd2dGc/viewer?version=1&amp;commentId=urn:adsk.comments:social.comment:35df6498dab9456caf9394e2a0f7f563&amp;showComments=1&amp;guid=6882be48-6626-5238-d3df-94e9f0a0019d</v>
      </c>
      <c r="H301" s="108" t="str">
        <f>IFERROR(__xludf.DUMMYFUNCTION("""COMPUTED_VALUE"""),"Sala Máquina")</f>
        <v>Sala Máquina</v>
      </c>
      <c r="I301" s="109" t="str">
        <f>IFERROR(__xludf.DUMMYFUNCTION("""COMPUTED_VALUE"""),"https://photos.google.com/search/6%C2%BAPav.-Sala%20de%20Duto%20-%20CM6.5")</f>
        <v>https://photos.google.com/search/6%C2%BAPav.-Sala%20de%20Duto%20-%20CM6.5</v>
      </c>
      <c r="J301" s="108"/>
    </row>
    <row r="302">
      <c r="A302" s="109" t="str">
        <f>IFERROR(__xludf.DUMMYFUNCTION("""COMPUTED_VALUE"""),"6ºPav.-Sala de Estoque")</f>
        <v>6ºPav.-Sala de Estoque</v>
      </c>
      <c r="B302" s="108" t="str">
        <f>IFERROR(__xludf.DUMMYFUNCTION("""COMPUTED_VALUE"""),"6ºPav.")</f>
        <v>6ºPav.</v>
      </c>
      <c r="C302" s="108" t="str">
        <f>IFERROR(__xludf.DUMMYFUNCTION("""COMPUTED_VALUE"""),"Sala de Estoque")</f>
        <v>Sala de Estoque</v>
      </c>
      <c r="D302" s="108" t="str">
        <f>IFERROR(__xludf.DUMMYFUNCTION("""COMPUTED_VALUE"""),"6ºPav.")</f>
        <v>6ºPav.</v>
      </c>
      <c r="E302" s="108" t="str">
        <f>IFERROR(__xludf.DUMMYFUNCTION("""COMPUTED_VALUE"""),"B")</f>
        <v>B</v>
      </c>
      <c r="F302" s="108">
        <f>IFERROR(__xludf.DUMMYFUNCTION("""COMPUTED_VALUE"""),20.0)</f>
        <v>20</v>
      </c>
      <c r="G302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f3cdc76a5bd1455b8b2ea421c7df8be4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f3cdc76a5bd1455b8b2ea421c7df8be4</v>
      </c>
      <c r="H302" s="108" t="str">
        <f>IFERROR(__xludf.DUMMYFUNCTION("""COMPUTED_VALUE"""),"Farmácia")</f>
        <v>Farmácia</v>
      </c>
      <c r="I302" s="108"/>
      <c r="J302" s="108"/>
    </row>
    <row r="303">
      <c r="A303" s="109" t="str">
        <f>IFERROR(__xludf.DUMMYFUNCTION("""COMPUTED_VALUE"""),"6ºPav.-Sala de Limpeza e Higienização")</f>
        <v>6ºPav.-Sala de Limpeza e Higienização</v>
      </c>
      <c r="B303" s="108" t="str">
        <f>IFERROR(__xludf.DUMMYFUNCTION("""COMPUTED_VALUE"""),"6ºPav.")</f>
        <v>6ºPav.</v>
      </c>
      <c r="C303" s="108" t="str">
        <f>IFERROR(__xludf.DUMMYFUNCTION("""COMPUTED_VALUE"""),"Sala de Limpeza e Higienização")</f>
        <v>Sala de Limpeza e Higienização</v>
      </c>
      <c r="D303" s="108" t="str">
        <f>IFERROR(__xludf.DUMMYFUNCTION("""COMPUTED_VALUE"""),"6ºPav.")</f>
        <v>6ºPav.</v>
      </c>
      <c r="E303" s="108" t="str">
        <f>IFERROR(__xludf.DUMMYFUNCTION("""COMPUTED_VALUE"""),"B")</f>
        <v>B</v>
      </c>
      <c r="F303" s="108">
        <f>IFERROR(__xludf.DUMMYFUNCTION("""COMPUTED_VALUE"""),19.0)</f>
        <v>19</v>
      </c>
      <c r="G303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18124f8c6706413c84dd604d27eeaeaf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18124f8c6706413c84dd604d27eeaeaf</v>
      </c>
      <c r="H303" s="108" t="str">
        <f>IFERROR(__xludf.DUMMYFUNCTION("""COMPUTED_VALUE"""),"Farmácia")</f>
        <v>Farmácia</v>
      </c>
      <c r="I303" s="108"/>
      <c r="J303" s="108"/>
    </row>
    <row r="304">
      <c r="A304" s="109" t="str">
        <f>IFERROR(__xludf.DUMMYFUNCTION("""COMPUTED_VALUE"""),"6ºPav.-Sala de Preparação de Quimio. 1")</f>
        <v>6ºPav.-Sala de Preparação de Quimio. 1</v>
      </c>
      <c r="B304" s="108" t="str">
        <f>IFERROR(__xludf.DUMMYFUNCTION("""COMPUTED_VALUE"""),"6ºPav.")</f>
        <v>6ºPav.</v>
      </c>
      <c r="C304" s="108" t="str">
        <f>IFERROR(__xludf.DUMMYFUNCTION("""COMPUTED_VALUE"""),"Sala de Preparação de Quimio. 1")</f>
        <v>Sala de Preparação de Quimio. 1</v>
      </c>
      <c r="D304" s="108" t="str">
        <f>IFERROR(__xludf.DUMMYFUNCTION("""COMPUTED_VALUE"""),"6ºPav.")</f>
        <v>6ºPav.</v>
      </c>
      <c r="E304" s="108" t="str">
        <f>IFERROR(__xludf.DUMMYFUNCTION("""COMPUTED_VALUE"""),"B")</f>
        <v>B</v>
      </c>
      <c r="F304" s="108">
        <f>IFERROR(__xludf.DUMMYFUNCTION("""COMPUTED_VALUE"""),26.0)</f>
        <v>26</v>
      </c>
      <c r="G304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867a8c3ec4c748bda721e54585af368e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867a8c3ec4c748bda721e54585af368e</v>
      </c>
      <c r="H304" s="108" t="str">
        <f>IFERROR(__xludf.DUMMYFUNCTION("""COMPUTED_VALUE"""),"Farmácia")</f>
        <v>Farmácia</v>
      </c>
      <c r="I304" s="108"/>
      <c r="J304" s="108"/>
    </row>
    <row r="305">
      <c r="A305" s="109" t="str">
        <f>IFERROR(__xludf.DUMMYFUNCTION("""COMPUTED_VALUE"""),"6ºPav.-Sala de Preparação de Quimio. 2")</f>
        <v>6ºPav.-Sala de Preparação de Quimio. 2</v>
      </c>
      <c r="B305" s="108" t="str">
        <f>IFERROR(__xludf.DUMMYFUNCTION("""COMPUTED_VALUE"""),"6ºPav.")</f>
        <v>6ºPav.</v>
      </c>
      <c r="C305" s="108" t="str">
        <f>IFERROR(__xludf.DUMMYFUNCTION("""COMPUTED_VALUE"""),"Sala de Preparação de Quimio. 2")</f>
        <v>Sala de Preparação de Quimio. 2</v>
      </c>
      <c r="D305" s="108" t="str">
        <f>IFERROR(__xludf.DUMMYFUNCTION("""COMPUTED_VALUE"""),"6ºPav.")</f>
        <v>6ºPav.</v>
      </c>
      <c r="E305" s="108" t="str">
        <f>IFERROR(__xludf.DUMMYFUNCTION("""COMPUTED_VALUE"""),"B")</f>
        <v>B</v>
      </c>
      <c r="F305" s="108">
        <f>IFERROR(__xludf.DUMMYFUNCTION("""COMPUTED_VALUE"""),24.0)</f>
        <v>24</v>
      </c>
      <c r="G305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c0f2383ee79f4e9dad6f6a06a9b15110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c0f2383ee79f4e9dad6f6a06a9b15110</v>
      </c>
      <c r="H305" s="108" t="str">
        <f>IFERROR(__xludf.DUMMYFUNCTION("""COMPUTED_VALUE"""),"Farmácia")</f>
        <v>Farmácia</v>
      </c>
      <c r="I305" s="108"/>
      <c r="J305" s="108"/>
    </row>
    <row r="306">
      <c r="A306" s="109" t="str">
        <f>IFERROR(__xludf.DUMMYFUNCTION("""COMPUTED_VALUE"""),"6ºPav.-Sala de Preparação de Quimio. 3")</f>
        <v>6ºPav.-Sala de Preparação de Quimio. 3</v>
      </c>
      <c r="B306" s="108" t="str">
        <f>IFERROR(__xludf.DUMMYFUNCTION("""COMPUTED_VALUE"""),"6ºPav.")</f>
        <v>6ºPav.</v>
      </c>
      <c r="C306" s="108" t="str">
        <f>IFERROR(__xludf.DUMMYFUNCTION("""COMPUTED_VALUE"""),"Sala de Preparação de Quimio. 3")</f>
        <v>Sala de Preparação de Quimio. 3</v>
      </c>
      <c r="D306" s="108" t="str">
        <f>IFERROR(__xludf.DUMMYFUNCTION("""COMPUTED_VALUE"""),"6ºPav.")</f>
        <v>6ºPav.</v>
      </c>
      <c r="E306" s="108" t="str">
        <f>IFERROR(__xludf.DUMMYFUNCTION("""COMPUTED_VALUE"""),"B")</f>
        <v>B</v>
      </c>
      <c r="F306" s="108">
        <f>IFERROR(__xludf.DUMMYFUNCTION("""COMPUTED_VALUE"""),21.0)</f>
        <v>21</v>
      </c>
      <c r="G306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142f9471a7f54abe819d771c1fb72512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142f9471a7f54abe819d771c1fb72512</v>
      </c>
      <c r="H306" s="108" t="str">
        <f>IFERROR(__xludf.DUMMYFUNCTION("""COMPUTED_VALUE"""),"Farmácia")</f>
        <v>Farmácia</v>
      </c>
      <c r="I306" s="108"/>
      <c r="J306" s="108"/>
    </row>
    <row r="307">
      <c r="A307" s="109" t="str">
        <f>IFERROR(__xludf.DUMMYFUNCTION("""COMPUTED_VALUE"""),"6ºPav.-Sala Elétrica QDG6")</f>
        <v>6ºPav.-Sala Elétrica QDG6</v>
      </c>
      <c r="B307" s="108" t="str">
        <f>IFERROR(__xludf.DUMMYFUNCTION("""COMPUTED_VALUE"""),"6ºPav.")</f>
        <v>6ºPav.</v>
      </c>
      <c r="C307" s="108" t="str">
        <f>IFERROR(__xludf.DUMMYFUNCTION("""COMPUTED_VALUE"""),"Sala Elétrica QDG6")</f>
        <v>Sala Elétrica QDG6</v>
      </c>
      <c r="D307" s="108" t="str">
        <f>IFERROR(__xludf.DUMMYFUNCTION("""COMPUTED_VALUE"""),"6ºPav.")</f>
        <v>6ºPav.</v>
      </c>
      <c r="E307" s="108" t="str">
        <f>IFERROR(__xludf.DUMMYFUNCTION("""COMPUTED_VALUE"""),"B")</f>
        <v>B</v>
      </c>
      <c r="F307" s="108">
        <f>IFERROR(__xludf.DUMMYFUNCTION("""COMPUTED_VALUE"""),10.0)</f>
        <v>10</v>
      </c>
      <c r="G307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commentId=urn:adsk.commen"&amp;"ts:social.comment:cd6afd30c8b94f5f8a87a1bb861e2001&amp;showComments=1&amp;guid=6882be48-6626-5238-d3df-94e9f0a0019d")</f>
        <v>https://myhub.autodesk360.com/ue29d95bb/g/projects/20210514412106331/data/dXJuOmFkc2sud2lwcHJvZDpmcy5mb2xkZXI6Y28ucU04eGNtQzdReXliS0NURmJQYUFTQQ/dXJuOmFkc2sud2lwcHJvZDpkbS5saW5lYWdlOlIxcW9GQjZOUVVTSXcyeEtSdDd2dGc/viewer?version=1&amp;commentId=urn:adsk.comments:social.comment:cd6afd30c8b94f5f8a87a1bb861e2001&amp;showComments=1&amp;guid=6882be48-6626-5238-d3df-94e9f0a0019d</v>
      </c>
      <c r="H307" s="108" t="str">
        <f>IFERROR(__xludf.DUMMYFUNCTION("""COMPUTED_VALUE"""),"Sala Elétrica")</f>
        <v>Sala Elétrica</v>
      </c>
      <c r="I307" s="109" t="str">
        <f>IFERROR(__xludf.DUMMYFUNCTION("""COMPUTED_VALUE"""),"https://photos.google.com/search/6%C2%BAPav.-Sala%20El%C3%A9trica%20QDG6")</f>
        <v>https://photos.google.com/search/6%C2%BAPav.-Sala%20El%C3%A9trica%20QDG6</v>
      </c>
      <c r="J307" s="108"/>
    </row>
    <row r="308">
      <c r="A308" s="109" t="str">
        <f>IFERROR(__xludf.DUMMYFUNCTION("""COMPUTED_VALUE"""),"6ºPav.-Sala Rack KK - 13 - TI")</f>
        <v>6ºPav.-Sala Rack KK - 13 - TI</v>
      </c>
      <c r="B308" s="108" t="str">
        <f>IFERROR(__xludf.DUMMYFUNCTION("""COMPUTED_VALUE"""),"6ºPav.")</f>
        <v>6ºPav.</v>
      </c>
      <c r="C308" s="108" t="str">
        <f>IFERROR(__xludf.DUMMYFUNCTION("""COMPUTED_VALUE"""),"Sala Rack KK - 13 - TI")</f>
        <v>Sala Rack KK - 13 - TI</v>
      </c>
      <c r="D308" s="108" t="str">
        <f>IFERROR(__xludf.DUMMYFUNCTION("""COMPUTED_VALUE"""),"6ºPav.")</f>
        <v>6ºPav.</v>
      </c>
      <c r="E308" s="108" t="str">
        <f>IFERROR(__xludf.DUMMYFUNCTION("""COMPUTED_VALUE"""),"B")</f>
        <v>B</v>
      </c>
      <c r="F308" s="108">
        <f>IFERROR(__xludf.DUMMYFUNCTION("""COMPUTED_VALUE"""),4.0)</f>
        <v>4</v>
      </c>
      <c r="G308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commentId=urn:adsk.commen"&amp;"ts:social.comment:c411694cc89d4bd39d10fa9385182907&amp;showComments=1&amp;guid=6882be48-6626-5238-d3df-94e9f0a0019d")</f>
        <v>https://myhub.autodesk360.com/ue29d95bb/g/projects/20210514412106331/data/dXJuOmFkc2sud2lwcHJvZDpmcy5mb2xkZXI6Y28ucU04eGNtQzdReXliS0NURmJQYUFTQQ/dXJuOmFkc2sud2lwcHJvZDpkbS5saW5lYWdlOlIxcW9GQjZOUVVTSXcyeEtSdDd2dGc/viewer?version=1&amp;commentId=urn:adsk.comments:social.comment:c411694cc89d4bd39d10fa9385182907&amp;showComments=1&amp;guid=6882be48-6626-5238-d3df-94e9f0a0019d</v>
      </c>
      <c r="H308" s="108" t="str">
        <f>IFERROR(__xludf.DUMMYFUNCTION("""COMPUTED_VALUE"""),"Sala Elétrica")</f>
        <v>Sala Elétrica</v>
      </c>
      <c r="I308" s="109" t="str">
        <f>IFERROR(__xludf.DUMMYFUNCTION("""COMPUTED_VALUE"""),"https://photos.google.com/search/6%C2%BAPav.-Sala%20Rack%20KK%20-%20TI")</f>
        <v>https://photos.google.com/search/6%C2%BAPav.-Sala%20Rack%20KK%20-%20TI</v>
      </c>
      <c r="J308" s="108"/>
    </row>
    <row r="309">
      <c r="A309" s="109" t="str">
        <f>IFERROR(__xludf.DUMMYFUNCTION("""COMPUTED_VALUE"""),"6ºPav.-Sala Rack LL - 14 - TI")</f>
        <v>6ºPav.-Sala Rack LL - 14 - TI</v>
      </c>
      <c r="B309" s="108" t="str">
        <f>IFERROR(__xludf.DUMMYFUNCTION("""COMPUTED_VALUE"""),"6ºPav.")</f>
        <v>6ºPav.</v>
      </c>
      <c r="C309" s="108" t="str">
        <f>IFERROR(__xludf.DUMMYFUNCTION("""COMPUTED_VALUE"""),"Sala Rack LL - 14 - TI")</f>
        <v>Sala Rack LL - 14 - TI</v>
      </c>
      <c r="D309" s="108" t="str">
        <f>IFERROR(__xludf.DUMMYFUNCTION("""COMPUTED_VALUE"""),"6ºPav.")</f>
        <v>6ºPav.</v>
      </c>
      <c r="E309" s="108" t="str">
        <f>IFERROR(__xludf.DUMMYFUNCTION("""COMPUTED_VALUE"""),"A")</f>
        <v>A</v>
      </c>
      <c r="F309" s="108">
        <f>IFERROR(__xludf.DUMMYFUNCTION("""COMPUTED_VALUE"""),3.0)</f>
        <v>3</v>
      </c>
      <c r="G309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commentId=urn:adsk.commen"&amp;"ts:social.comment:5befb0c7c21d45d2a1039b91f11e2887&amp;showComments=1&amp;guid=6882be48-6626-5238-d3df-94e9f0a0019d")</f>
        <v>https://myhub.autodesk360.com/ue29d95bb/g/projects/20210514412106331/data/dXJuOmFkc2sud2lwcHJvZDpmcy5mb2xkZXI6Y28ucU04eGNtQzdReXliS0NURmJQYUFTQQ/dXJuOmFkc2sud2lwcHJvZDpkbS5saW5lYWdlOlIxcW9GQjZOUVVTSXcyeEtSdDd2dGc/viewer?version=1&amp;commentId=urn:adsk.comments:social.comment:5befb0c7c21d45d2a1039b91f11e2887&amp;showComments=1&amp;guid=6882be48-6626-5238-d3df-94e9f0a0019d</v>
      </c>
      <c r="H309" s="108" t="str">
        <f>IFERROR(__xludf.DUMMYFUNCTION("""COMPUTED_VALUE"""),"Sala Elétrica")</f>
        <v>Sala Elétrica</v>
      </c>
      <c r="I309" s="109" t="str">
        <f>IFERROR(__xludf.DUMMYFUNCTION("""COMPUTED_VALUE"""),"https://photos.google.com/search/6%C2%BAPav.-Sala%20Rack%20LL%20-%20TI")</f>
        <v>https://photos.google.com/search/6%C2%BAPav.-Sala%20Rack%20LL%20-%20TI</v>
      </c>
      <c r="J309" s="108"/>
    </row>
    <row r="310">
      <c r="A310" s="109" t="str">
        <f>IFERROR(__xludf.DUMMYFUNCTION("""COMPUTED_VALUE"""),"6ºPav.-Sanitário Pub. Feminino")</f>
        <v>6ºPav.-Sanitário Pub. Feminino</v>
      </c>
      <c r="B310" s="108" t="str">
        <f>IFERROR(__xludf.DUMMYFUNCTION("""COMPUTED_VALUE"""),"6ºPav.")</f>
        <v>6ºPav.</v>
      </c>
      <c r="C310" s="108" t="str">
        <f>IFERROR(__xludf.DUMMYFUNCTION("""COMPUTED_VALUE"""),"Sanitário Pub. Feminino")</f>
        <v>Sanitário Pub. Feminino</v>
      </c>
      <c r="D310" s="108" t="str">
        <f>IFERROR(__xludf.DUMMYFUNCTION("""COMPUTED_VALUE"""),"6ºPav.")</f>
        <v>6ºPav.</v>
      </c>
      <c r="E310" s="108" t="str">
        <f>IFERROR(__xludf.DUMMYFUNCTION("""COMPUTED_VALUE"""),"B")</f>
        <v>B</v>
      </c>
      <c r="F310" s="108">
        <f>IFERROR(__xludf.DUMMYFUNCTION("""COMPUTED_VALUE"""),52.0)</f>
        <v>52</v>
      </c>
      <c r="G310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f9faf5f109564ac5a70f5ddcebe99e9d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f9faf5f109564ac5a70f5ddcebe99e9d</v>
      </c>
      <c r="H310" s="108" t="str">
        <f>IFERROR(__xludf.DUMMYFUNCTION("""COMPUTED_VALUE"""),"Sanitário")</f>
        <v>Sanitário</v>
      </c>
      <c r="I310" s="108"/>
      <c r="J310" s="108"/>
    </row>
    <row r="311">
      <c r="A311" s="109" t="str">
        <f>IFERROR(__xludf.DUMMYFUNCTION("""COMPUTED_VALUE"""),"6ºPav.-Sanitário Pub. Masculino")</f>
        <v>6ºPav.-Sanitário Pub. Masculino</v>
      </c>
      <c r="B311" s="108" t="str">
        <f>IFERROR(__xludf.DUMMYFUNCTION("""COMPUTED_VALUE"""),"6ºPav.")</f>
        <v>6ºPav.</v>
      </c>
      <c r="C311" s="108" t="str">
        <f>IFERROR(__xludf.DUMMYFUNCTION("""COMPUTED_VALUE"""),"Sanitário Pub. Masculino")</f>
        <v>Sanitário Pub. Masculino</v>
      </c>
      <c r="D311" s="108" t="str">
        <f>IFERROR(__xludf.DUMMYFUNCTION("""COMPUTED_VALUE"""),"6ºPav.")</f>
        <v>6ºPav.</v>
      </c>
      <c r="E311" s="108" t="str">
        <f>IFERROR(__xludf.DUMMYFUNCTION("""COMPUTED_VALUE"""),"B")</f>
        <v>B</v>
      </c>
      <c r="F311" s="108">
        <f>IFERROR(__xludf.DUMMYFUNCTION("""COMPUTED_VALUE"""),51.0)</f>
        <v>51</v>
      </c>
      <c r="G311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90688100be724fcaaf2493f904977fe2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90688100be724fcaaf2493f904977fe2</v>
      </c>
      <c r="H311" s="108" t="str">
        <f>IFERROR(__xludf.DUMMYFUNCTION("""COMPUTED_VALUE"""),"Sanitário")</f>
        <v>Sanitário</v>
      </c>
      <c r="I311" s="108"/>
      <c r="J311" s="108"/>
    </row>
    <row r="312">
      <c r="A312" s="109" t="str">
        <f>IFERROR(__xludf.DUMMYFUNCTION("""COMPUTED_VALUE"""),"6ºPav.-Sanitário Público PCD Feminino")</f>
        <v>6ºPav.-Sanitário Público PCD Feminino</v>
      </c>
      <c r="B312" s="108" t="str">
        <f>IFERROR(__xludf.DUMMYFUNCTION("""COMPUTED_VALUE"""),"6ºPav.")</f>
        <v>6ºPav.</v>
      </c>
      <c r="C312" s="108" t="str">
        <f>IFERROR(__xludf.DUMMYFUNCTION("""COMPUTED_VALUE"""),"Sanitário Público PCD Feminino")</f>
        <v>Sanitário Público PCD Feminino</v>
      </c>
      <c r="D312" s="108" t="str">
        <f>IFERROR(__xludf.DUMMYFUNCTION("""COMPUTED_VALUE"""),"6ºPav.")</f>
        <v>6ºPav.</v>
      </c>
      <c r="E312" s="108" t="str">
        <f>IFERROR(__xludf.DUMMYFUNCTION("""COMPUTED_VALUE"""),"A")</f>
        <v>A</v>
      </c>
      <c r="F312" s="108">
        <f>IFERROR(__xludf.DUMMYFUNCTION("""COMPUTED_VALUE"""),14.0)</f>
        <v>14</v>
      </c>
      <c r="G312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commentId=urn:adsk.commen"&amp;"ts:social.comment:411b39aa329f4c7fb5fb6ca4a25204de&amp;showComments=1&amp;guid=6882be48-6626-5238-d3df-94e9f0a0019d")</f>
        <v>https://myhub.autodesk360.com/ue29d95bb/g/projects/20210514412106331/data/dXJuOmFkc2sud2lwcHJvZDpmcy5mb2xkZXI6Y28ucU04eGNtQzdReXliS0NURmJQYUFTQQ/dXJuOmFkc2sud2lwcHJvZDpkbS5saW5lYWdlOlIxcW9GQjZOUVVTSXcyeEtSdDd2dGc/viewer?version=1&amp;commentId=urn:adsk.comments:social.comment:411b39aa329f4c7fb5fb6ca4a25204de&amp;showComments=1&amp;guid=6882be48-6626-5238-d3df-94e9f0a0019d</v>
      </c>
      <c r="H312" s="108" t="str">
        <f>IFERROR(__xludf.DUMMYFUNCTION("""COMPUTED_VALUE"""),"Sanitário")</f>
        <v>Sanitário</v>
      </c>
      <c r="I312" s="108"/>
      <c r="J312" s="108"/>
    </row>
    <row r="313">
      <c r="A313" s="109" t="str">
        <f>IFERROR(__xludf.DUMMYFUNCTION("""COMPUTED_VALUE"""),"6ºPav.-Sanitário Público PCD Masculino")</f>
        <v>6ºPav.-Sanitário Público PCD Masculino</v>
      </c>
      <c r="B313" s="108" t="str">
        <f>IFERROR(__xludf.DUMMYFUNCTION("""COMPUTED_VALUE"""),"6ºPav.")</f>
        <v>6ºPav.</v>
      </c>
      <c r="C313" s="108" t="str">
        <f>IFERROR(__xludf.DUMMYFUNCTION("""COMPUTED_VALUE"""),"Sanitário Público PCD Masculino")</f>
        <v>Sanitário Público PCD Masculino</v>
      </c>
      <c r="D313" s="108" t="str">
        <f>IFERROR(__xludf.DUMMYFUNCTION("""COMPUTED_VALUE"""),"6ºPav.")</f>
        <v>6ºPav.</v>
      </c>
      <c r="E313" s="108" t="str">
        <f>IFERROR(__xludf.DUMMYFUNCTION("""COMPUTED_VALUE"""),"A")</f>
        <v>A</v>
      </c>
      <c r="F313" s="108">
        <f>IFERROR(__xludf.DUMMYFUNCTION("""COMPUTED_VALUE"""),15.0)</f>
        <v>15</v>
      </c>
      <c r="G313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commentId=urn:adsk.commen"&amp;"ts:social.comment:65f282e42374463799a4ce1e47f2d0ed&amp;showComments=1&amp;guid=6882be48-6626-5238-d3df-94e9f0a0019d")</f>
        <v>https://myhub.autodesk360.com/ue29d95bb/g/projects/20210514412106331/data/dXJuOmFkc2sud2lwcHJvZDpmcy5mb2xkZXI6Y28ucU04eGNtQzdReXliS0NURmJQYUFTQQ/dXJuOmFkc2sud2lwcHJvZDpkbS5saW5lYWdlOlIxcW9GQjZOUVVTSXcyeEtSdDd2dGc/viewer?version=1&amp;commentId=urn:adsk.comments:social.comment:65f282e42374463799a4ce1e47f2d0ed&amp;showComments=1&amp;guid=6882be48-6626-5238-d3df-94e9f0a0019d</v>
      </c>
      <c r="H313" s="108" t="str">
        <f>IFERROR(__xludf.DUMMYFUNCTION("""COMPUTED_VALUE"""),"Sanitário")</f>
        <v>Sanitário</v>
      </c>
      <c r="I313" s="108"/>
      <c r="J313" s="108"/>
    </row>
    <row r="314">
      <c r="A314" s="109" t="str">
        <f>IFERROR(__xludf.DUMMYFUNCTION("""COMPUTED_VALUE"""),"6ºPav.-Shaft 6P-01")</f>
        <v>6ºPav.-Shaft 6P-01</v>
      </c>
      <c r="B314" s="108" t="str">
        <f>IFERROR(__xludf.DUMMYFUNCTION("""COMPUTED_VALUE"""),"6ºPav.")</f>
        <v>6ºPav.</v>
      </c>
      <c r="C314" s="108" t="str">
        <f>IFERROR(__xludf.DUMMYFUNCTION("""COMPUTED_VALUE"""),"Shaft 6P-01")</f>
        <v>Shaft 6P-01</v>
      </c>
      <c r="D314" s="108" t="str">
        <f>IFERROR(__xludf.DUMMYFUNCTION("""COMPUTED_VALUE"""),"6ºPav.")</f>
        <v>6ºPav.</v>
      </c>
      <c r="E314" s="108" t="str">
        <f>IFERROR(__xludf.DUMMYFUNCTION("""COMPUTED_VALUE"""),"A")</f>
        <v>A</v>
      </c>
      <c r="F314" s="108">
        <f>IFERROR(__xludf.DUMMYFUNCTION("""COMPUTED_VALUE"""),38.0)</f>
        <v>38</v>
      </c>
      <c r="G314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commentId=urn:adsk.commen"&amp;"ts:social.comment:2ac3a3f1625a485595d258db4fb90f69&amp;showComments=1&amp;guid=6882be48-6626-5238-d3df-94e9f0a0019d")</f>
        <v>https://myhub.autodesk360.com/ue29d95bb/g/projects/20210514412106331/data/dXJuOmFkc2sud2lwcHJvZDpmcy5mb2xkZXI6Y28ucU04eGNtQzdReXliS0NURmJQYUFTQQ/dXJuOmFkc2sud2lwcHJvZDpkbS5saW5lYWdlOlIxcW9GQjZOUVVTSXcyeEtSdDd2dGc/viewer?version=1&amp;commentId=urn:adsk.comments:social.comment:2ac3a3f1625a485595d258db4fb90f69&amp;showComments=1&amp;guid=6882be48-6626-5238-d3df-94e9f0a0019d</v>
      </c>
      <c r="H314" s="108" t="str">
        <f>IFERROR(__xludf.DUMMYFUNCTION("""COMPUTED_VALUE"""),"Shaft")</f>
        <v>Shaft</v>
      </c>
      <c r="I314" s="108"/>
      <c r="J314" s="108" t="str">
        <f>IFERROR(__xludf.DUMMYFUNCTION("""COMPUTED_VALUE"""),"P1")</f>
        <v>P1</v>
      </c>
    </row>
    <row r="315">
      <c r="A315" s="108" t="str">
        <f>IFERROR(__xludf.DUMMYFUNCTION("""COMPUTED_VALUE"""),"6ºPav.-Shaft 6P-02")</f>
        <v>6ºPav.-Shaft 6P-02</v>
      </c>
      <c r="B315" s="108" t="str">
        <f>IFERROR(__xludf.DUMMYFUNCTION("""COMPUTED_VALUE"""),"6ºPav.")</f>
        <v>6ºPav.</v>
      </c>
      <c r="C315" s="108" t="str">
        <f>IFERROR(__xludf.DUMMYFUNCTION("""COMPUTED_VALUE"""),"Shaft 6P-02")</f>
        <v>Shaft 6P-02</v>
      </c>
      <c r="D315" s="108" t="str">
        <f>IFERROR(__xludf.DUMMYFUNCTION("""COMPUTED_VALUE"""),"6ºPav.")</f>
        <v>6ºPav.</v>
      </c>
      <c r="E315" s="108" t="str">
        <f>IFERROR(__xludf.DUMMYFUNCTION("""COMPUTED_VALUE"""),"A")</f>
        <v>A</v>
      </c>
      <c r="F315" s="108"/>
      <c r="G315" s="108"/>
      <c r="H315" s="108" t="str">
        <f>IFERROR(__xludf.DUMMYFUNCTION("""COMPUTED_VALUE"""),"Shaft")</f>
        <v>Shaft</v>
      </c>
      <c r="I315" s="108"/>
      <c r="J315" s="108" t="str">
        <f>IFERROR(__xludf.DUMMYFUNCTION("""COMPUTED_VALUE"""),"P2")</f>
        <v>P2</v>
      </c>
    </row>
    <row r="316">
      <c r="A316" s="108" t="str">
        <f>IFERROR(__xludf.DUMMYFUNCTION("""COMPUTED_VALUE"""),"6ºPav.-Shaft 6P-03")</f>
        <v>6ºPav.-Shaft 6P-03</v>
      </c>
      <c r="B316" s="108" t="str">
        <f>IFERROR(__xludf.DUMMYFUNCTION("""COMPUTED_VALUE"""),"6ºPav.")</f>
        <v>6ºPav.</v>
      </c>
      <c r="C316" s="108" t="str">
        <f>IFERROR(__xludf.DUMMYFUNCTION("""COMPUTED_VALUE"""),"Shaft 6P-03")</f>
        <v>Shaft 6P-03</v>
      </c>
      <c r="D316" s="108" t="str">
        <f>IFERROR(__xludf.DUMMYFUNCTION("""COMPUTED_VALUE"""),"6ºPav.")</f>
        <v>6ºPav.</v>
      </c>
      <c r="E316" s="108" t="str">
        <f>IFERROR(__xludf.DUMMYFUNCTION("""COMPUTED_VALUE"""),"A")</f>
        <v>A</v>
      </c>
      <c r="F316" s="108"/>
      <c r="G316" s="108"/>
      <c r="H316" s="108" t="str">
        <f>IFERROR(__xludf.DUMMYFUNCTION("""COMPUTED_VALUE"""),"Shaft")</f>
        <v>Shaft</v>
      </c>
      <c r="I316" s="108"/>
      <c r="J316" s="108" t="str">
        <f>IFERROR(__xludf.DUMMYFUNCTION("""COMPUTED_VALUE"""),"P3")</f>
        <v>P3</v>
      </c>
    </row>
    <row r="317">
      <c r="A317" s="108" t="str">
        <f>IFERROR(__xludf.DUMMYFUNCTION("""COMPUTED_VALUE"""),"6ºPav.-Shaft 6P-04")</f>
        <v>6ºPav.-Shaft 6P-04</v>
      </c>
      <c r="B317" s="108" t="str">
        <f>IFERROR(__xludf.DUMMYFUNCTION("""COMPUTED_VALUE"""),"6ºPav.")</f>
        <v>6ºPav.</v>
      </c>
      <c r="C317" s="108" t="str">
        <f>IFERROR(__xludf.DUMMYFUNCTION("""COMPUTED_VALUE"""),"Shaft 6P-04")</f>
        <v>Shaft 6P-04</v>
      </c>
      <c r="D317" s="108" t="str">
        <f>IFERROR(__xludf.DUMMYFUNCTION("""COMPUTED_VALUE"""),"6ºPav.")</f>
        <v>6ºPav.</v>
      </c>
      <c r="E317" s="108" t="str">
        <f>IFERROR(__xludf.DUMMYFUNCTION("""COMPUTED_VALUE"""),"A")</f>
        <v>A</v>
      </c>
      <c r="F317" s="108"/>
      <c r="G317" s="108"/>
      <c r="H317" s="108" t="str">
        <f>IFERROR(__xludf.DUMMYFUNCTION("""COMPUTED_VALUE"""),"Shaft")</f>
        <v>Shaft</v>
      </c>
      <c r="I317" s="108"/>
      <c r="J317" s="108" t="str">
        <f>IFERROR(__xludf.DUMMYFUNCTION("""COMPUTED_VALUE"""),"P4")</f>
        <v>P4</v>
      </c>
    </row>
    <row r="318">
      <c r="A318" s="108" t="str">
        <f>IFERROR(__xludf.DUMMYFUNCTION("""COMPUTED_VALUE"""),"6ºPav.-Shaft 6P-05")</f>
        <v>6ºPav.-Shaft 6P-05</v>
      </c>
      <c r="B318" s="108" t="str">
        <f>IFERROR(__xludf.DUMMYFUNCTION("""COMPUTED_VALUE"""),"6ºPav.")</f>
        <v>6ºPav.</v>
      </c>
      <c r="C318" s="108" t="str">
        <f>IFERROR(__xludf.DUMMYFUNCTION("""COMPUTED_VALUE"""),"Shaft 6P-05")</f>
        <v>Shaft 6P-05</v>
      </c>
      <c r="D318" s="108" t="str">
        <f>IFERROR(__xludf.DUMMYFUNCTION("""COMPUTED_VALUE"""),"6ºPav.")</f>
        <v>6ºPav.</v>
      </c>
      <c r="E318" s="108" t="str">
        <f>IFERROR(__xludf.DUMMYFUNCTION("""COMPUTED_VALUE"""),"A")</f>
        <v>A</v>
      </c>
      <c r="F318" s="108"/>
      <c r="G318" s="108"/>
      <c r="H318" s="108" t="str">
        <f>IFERROR(__xludf.DUMMYFUNCTION("""COMPUTED_VALUE"""),"Shaft")</f>
        <v>Shaft</v>
      </c>
      <c r="I318" s="108"/>
      <c r="J318" s="108" t="str">
        <f>IFERROR(__xludf.DUMMYFUNCTION("""COMPUTED_VALUE"""),"P5")</f>
        <v>P5</v>
      </c>
    </row>
    <row r="319">
      <c r="A319" s="108" t="str">
        <f>IFERROR(__xludf.DUMMYFUNCTION("""COMPUTED_VALUE"""),"6ºPav.-Shaft 6P-06")</f>
        <v>6ºPav.-Shaft 6P-06</v>
      </c>
      <c r="B319" s="108" t="str">
        <f>IFERROR(__xludf.DUMMYFUNCTION("""COMPUTED_VALUE"""),"6ºPav.")</f>
        <v>6ºPav.</v>
      </c>
      <c r="C319" s="108" t="str">
        <f>IFERROR(__xludf.DUMMYFUNCTION("""COMPUTED_VALUE"""),"Shaft 6P-06")</f>
        <v>Shaft 6P-06</v>
      </c>
      <c r="D319" s="108" t="str">
        <f>IFERROR(__xludf.DUMMYFUNCTION("""COMPUTED_VALUE"""),"6ºPav.")</f>
        <v>6ºPav.</v>
      </c>
      <c r="E319" s="108" t="str">
        <f>IFERROR(__xludf.DUMMYFUNCTION("""COMPUTED_VALUE"""),"A")</f>
        <v>A</v>
      </c>
      <c r="F319" s="108"/>
      <c r="G319" s="108"/>
      <c r="H319" s="108" t="str">
        <f>IFERROR(__xludf.DUMMYFUNCTION("""COMPUTED_VALUE"""),"Shaft")</f>
        <v>Shaft</v>
      </c>
      <c r="I319" s="108"/>
      <c r="J319" s="108" t="str">
        <f>IFERROR(__xludf.DUMMYFUNCTION("""COMPUTED_VALUE"""),"P6")</f>
        <v>P6</v>
      </c>
    </row>
    <row r="320">
      <c r="A320" s="108" t="str">
        <f>IFERROR(__xludf.DUMMYFUNCTION("""COMPUTED_VALUE"""),"6ºPav.-Shaft 6P-07")</f>
        <v>6ºPav.-Shaft 6P-07</v>
      </c>
      <c r="B320" s="108" t="str">
        <f>IFERROR(__xludf.DUMMYFUNCTION("""COMPUTED_VALUE"""),"6ºPav.")</f>
        <v>6ºPav.</v>
      </c>
      <c r="C320" s="108" t="str">
        <f>IFERROR(__xludf.DUMMYFUNCTION("""COMPUTED_VALUE"""),"Shaft 6P-07")</f>
        <v>Shaft 6P-07</v>
      </c>
      <c r="D320" s="108" t="str">
        <f>IFERROR(__xludf.DUMMYFUNCTION("""COMPUTED_VALUE"""),"6ºPav.")</f>
        <v>6ºPav.</v>
      </c>
      <c r="E320" s="108" t="str">
        <f>IFERROR(__xludf.DUMMYFUNCTION("""COMPUTED_VALUE"""),"A")</f>
        <v>A</v>
      </c>
      <c r="F320" s="108"/>
      <c r="G320" s="108"/>
      <c r="H320" s="108" t="str">
        <f>IFERROR(__xludf.DUMMYFUNCTION("""COMPUTED_VALUE"""),"Shaft")</f>
        <v>Shaft</v>
      </c>
      <c r="I320" s="108"/>
      <c r="J320" s="108" t="str">
        <f>IFERROR(__xludf.DUMMYFUNCTION("""COMPUTED_VALUE"""),"P7")</f>
        <v>P7</v>
      </c>
    </row>
    <row r="321">
      <c r="A321" s="108" t="str">
        <f>IFERROR(__xludf.DUMMYFUNCTION("""COMPUTED_VALUE"""),"6ºPav.-Shaft 6P-08")</f>
        <v>6ºPav.-Shaft 6P-08</v>
      </c>
      <c r="B321" s="108" t="str">
        <f>IFERROR(__xludf.DUMMYFUNCTION("""COMPUTED_VALUE"""),"6ºPav.")</f>
        <v>6ºPav.</v>
      </c>
      <c r="C321" s="108" t="str">
        <f>IFERROR(__xludf.DUMMYFUNCTION("""COMPUTED_VALUE"""),"Shaft 6P-08")</f>
        <v>Shaft 6P-08</v>
      </c>
      <c r="D321" s="108" t="str">
        <f>IFERROR(__xludf.DUMMYFUNCTION("""COMPUTED_VALUE"""),"6ºPav.")</f>
        <v>6ºPav.</v>
      </c>
      <c r="E321" s="108" t="str">
        <f>IFERROR(__xludf.DUMMYFUNCTION("""COMPUTED_VALUE"""),"A")</f>
        <v>A</v>
      </c>
      <c r="F321" s="108"/>
      <c r="G321" s="108"/>
      <c r="H321" s="108" t="str">
        <f>IFERROR(__xludf.DUMMYFUNCTION("""COMPUTED_VALUE"""),"Shaft")</f>
        <v>Shaft</v>
      </c>
      <c r="I321" s="108"/>
      <c r="J321" s="108" t="str">
        <f>IFERROR(__xludf.DUMMYFUNCTION("""COMPUTED_VALUE"""),"P8")</f>
        <v>P8</v>
      </c>
    </row>
    <row r="322">
      <c r="A322" s="108" t="str">
        <f>IFERROR(__xludf.DUMMYFUNCTION("""COMPUTED_VALUE"""),"6ºPav.-Shaft 6P-09")</f>
        <v>6ºPav.-Shaft 6P-09</v>
      </c>
      <c r="B322" s="108" t="str">
        <f>IFERROR(__xludf.DUMMYFUNCTION("""COMPUTED_VALUE"""),"6ºPav.")</f>
        <v>6ºPav.</v>
      </c>
      <c r="C322" s="108" t="str">
        <f>IFERROR(__xludf.DUMMYFUNCTION("""COMPUTED_VALUE"""),"Shaft 6P-09")</f>
        <v>Shaft 6P-09</v>
      </c>
      <c r="D322" s="108" t="str">
        <f>IFERROR(__xludf.DUMMYFUNCTION("""COMPUTED_VALUE"""),"6ºPav.")</f>
        <v>6ºPav.</v>
      </c>
      <c r="E322" s="108" t="str">
        <f>IFERROR(__xludf.DUMMYFUNCTION("""COMPUTED_VALUE"""),"A")</f>
        <v>A</v>
      </c>
      <c r="F322" s="108"/>
      <c r="G322" s="108"/>
      <c r="H322" s="108" t="str">
        <f>IFERROR(__xludf.DUMMYFUNCTION("""COMPUTED_VALUE"""),"Shaft")</f>
        <v>Shaft</v>
      </c>
      <c r="I322" s="108"/>
      <c r="J322" s="108" t="str">
        <f>IFERROR(__xludf.DUMMYFUNCTION("""COMPUTED_VALUE"""),"P9")</f>
        <v>P9</v>
      </c>
    </row>
    <row r="323">
      <c r="A323" s="108" t="str">
        <f>IFERROR(__xludf.DUMMYFUNCTION("""COMPUTED_VALUE"""),"6ºPav.-Shaft 6P-10")</f>
        <v>6ºPav.-Shaft 6P-10</v>
      </c>
      <c r="B323" s="108" t="str">
        <f>IFERROR(__xludf.DUMMYFUNCTION("""COMPUTED_VALUE"""),"6ºPav.")</f>
        <v>6ºPav.</v>
      </c>
      <c r="C323" s="108" t="str">
        <f>IFERROR(__xludf.DUMMYFUNCTION("""COMPUTED_VALUE"""),"Shaft 6P-10")</f>
        <v>Shaft 6P-10</v>
      </c>
      <c r="D323" s="108" t="str">
        <f>IFERROR(__xludf.DUMMYFUNCTION("""COMPUTED_VALUE"""),"6ºPav.")</f>
        <v>6ºPav.</v>
      </c>
      <c r="E323" s="108" t="str">
        <f>IFERROR(__xludf.DUMMYFUNCTION("""COMPUTED_VALUE"""),"A")</f>
        <v>A</v>
      </c>
      <c r="F323" s="108"/>
      <c r="G323" s="108"/>
      <c r="H323" s="108" t="str">
        <f>IFERROR(__xludf.DUMMYFUNCTION("""COMPUTED_VALUE"""),"Shaft")</f>
        <v>Shaft</v>
      </c>
      <c r="I323" s="108"/>
      <c r="J323" s="108" t="str">
        <f>IFERROR(__xludf.DUMMYFUNCTION("""COMPUTED_VALUE"""),"P10")</f>
        <v>P10</v>
      </c>
    </row>
    <row r="324">
      <c r="A324" s="108" t="str">
        <f>IFERROR(__xludf.DUMMYFUNCTION("""COMPUTED_VALUE"""),"6ºPav.-Shaft 6P-11")</f>
        <v>6ºPav.-Shaft 6P-11</v>
      </c>
      <c r="B324" s="108" t="str">
        <f>IFERROR(__xludf.DUMMYFUNCTION("""COMPUTED_VALUE"""),"6ºPav.")</f>
        <v>6ºPav.</v>
      </c>
      <c r="C324" s="108" t="str">
        <f>IFERROR(__xludf.DUMMYFUNCTION("""COMPUTED_VALUE"""),"Shaft 6P-11")</f>
        <v>Shaft 6P-11</v>
      </c>
      <c r="D324" s="108" t="str">
        <f>IFERROR(__xludf.DUMMYFUNCTION("""COMPUTED_VALUE"""),"6ºPav.")</f>
        <v>6ºPav.</v>
      </c>
      <c r="E324" s="108" t="str">
        <f>IFERROR(__xludf.DUMMYFUNCTION("""COMPUTED_VALUE"""),"A")</f>
        <v>A</v>
      </c>
      <c r="F324" s="108"/>
      <c r="G324" s="108"/>
      <c r="H324" s="108" t="str">
        <f>IFERROR(__xludf.DUMMYFUNCTION("""COMPUTED_VALUE"""),"Shaft")</f>
        <v>Shaft</v>
      </c>
      <c r="I324" s="108"/>
      <c r="J324" s="108" t="str">
        <f>IFERROR(__xludf.DUMMYFUNCTION("""COMPUTED_VALUE"""),"P11")</f>
        <v>P11</v>
      </c>
    </row>
    <row r="325">
      <c r="A325" s="108" t="str">
        <f>IFERROR(__xludf.DUMMYFUNCTION("""COMPUTED_VALUE"""),"6ºPav.-Shaft 6P-12")</f>
        <v>6ºPav.-Shaft 6P-12</v>
      </c>
      <c r="B325" s="108" t="str">
        <f>IFERROR(__xludf.DUMMYFUNCTION("""COMPUTED_VALUE"""),"6ºPav.")</f>
        <v>6ºPav.</v>
      </c>
      <c r="C325" s="108" t="str">
        <f>IFERROR(__xludf.DUMMYFUNCTION("""COMPUTED_VALUE"""),"Shaft 6P-12")</f>
        <v>Shaft 6P-12</v>
      </c>
      <c r="D325" s="108" t="str">
        <f>IFERROR(__xludf.DUMMYFUNCTION("""COMPUTED_VALUE"""),"6ºPav.")</f>
        <v>6ºPav.</v>
      </c>
      <c r="E325" s="108" t="str">
        <f>IFERROR(__xludf.DUMMYFUNCTION("""COMPUTED_VALUE"""),"A")</f>
        <v>A</v>
      </c>
      <c r="F325" s="108"/>
      <c r="G325" s="108"/>
      <c r="H325" s="108" t="str">
        <f>IFERROR(__xludf.DUMMYFUNCTION("""COMPUTED_VALUE"""),"Shaft")</f>
        <v>Shaft</v>
      </c>
      <c r="I325" s="108"/>
      <c r="J325" s="108" t="str">
        <f>IFERROR(__xludf.DUMMYFUNCTION("""COMPUTED_VALUE"""),"P12")</f>
        <v>P12</v>
      </c>
    </row>
    <row r="326">
      <c r="A326" s="108" t="str">
        <f>IFERROR(__xludf.DUMMYFUNCTION("""COMPUTED_VALUE"""),"6ºPav.-Shaft 6P-13")</f>
        <v>6ºPav.-Shaft 6P-13</v>
      </c>
      <c r="B326" s="108" t="str">
        <f>IFERROR(__xludf.DUMMYFUNCTION("""COMPUTED_VALUE"""),"6ºPav.")</f>
        <v>6ºPav.</v>
      </c>
      <c r="C326" s="108" t="str">
        <f>IFERROR(__xludf.DUMMYFUNCTION("""COMPUTED_VALUE"""),"Shaft 6P-13")</f>
        <v>Shaft 6P-13</v>
      </c>
      <c r="D326" s="108" t="str">
        <f>IFERROR(__xludf.DUMMYFUNCTION("""COMPUTED_VALUE"""),"6ºPav.")</f>
        <v>6ºPav.</v>
      </c>
      <c r="E326" s="108" t="str">
        <f>IFERROR(__xludf.DUMMYFUNCTION("""COMPUTED_VALUE"""),"A")</f>
        <v>A</v>
      </c>
      <c r="F326" s="108"/>
      <c r="G326" s="108"/>
      <c r="H326" s="108" t="str">
        <f>IFERROR(__xludf.DUMMYFUNCTION("""COMPUTED_VALUE"""),"Shaft")</f>
        <v>Shaft</v>
      </c>
      <c r="I326" s="108"/>
      <c r="J326" s="108" t="str">
        <f>IFERROR(__xludf.DUMMYFUNCTION("""COMPUTED_VALUE"""),"P13")</f>
        <v>P13</v>
      </c>
    </row>
    <row r="327">
      <c r="A327" s="108" t="str">
        <f>IFERROR(__xludf.DUMMYFUNCTION("""COMPUTED_VALUE"""),"6ºPav.-Shaft 6P-14")</f>
        <v>6ºPav.-Shaft 6P-14</v>
      </c>
      <c r="B327" s="108" t="str">
        <f>IFERROR(__xludf.DUMMYFUNCTION("""COMPUTED_VALUE"""),"6ºPav.")</f>
        <v>6ºPav.</v>
      </c>
      <c r="C327" s="108" t="str">
        <f>IFERROR(__xludf.DUMMYFUNCTION("""COMPUTED_VALUE"""),"Shaft 6P-14")</f>
        <v>Shaft 6P-14</v>
      </c>
      <c r="D327" s="108" t="str">
        <f>IFERROR(__xludf.DUMMYFUNCTION("""COMPUTED_VALUE"""),"6ºPav.")</f>
        <v>6ºPav.</v>
      </c>
      <c r="E327" s="108" t="str">
        <f>IFERROR(__xludf.DUMMYFUNCTION("""COMPUTED_VALUE"""),"A")</f>
        <v>A</v>
      </c>
      <c r="F327" s="108"/>
      <c r="G327" s="108"/>
      <c r="H327" s="108" t="str">
        <f>IFERROR(__xludf.DUMMYFUNCTION("""COMPUTED_VALUE"""),"Shaft")</f>
        <v>Shaft</v>
      </c>
      <c r="I327" s="108"/>
      <c r="J327" s="108" t="str">
        <f>IFERROR(__xludf.DUMMYFUNCTION("""COMPUTED_VALUE"""),"P14")</f>
        <v>P14</v>
      </c>
    </row>
    <row r="328">
      <c r="A328" s="108" t="str">
        <f>IFERROR(__xludf.DUMMYFUNCTION("""COMPUTED_VALUE"""),"6ºPav.-Shaft 6P-15")</f>
        <v>6ºPav.-Shaft 6P-15</v>
      </c>
      <c r="B328" s="108" t="str">
        <f>IFERROR(__xludf.DUMMYFUNCTION("""COMPUTED_VALUE"""),"6ºPav.")</f>
        <v>6ºPav.</v>
      </c>
      <c r="C328" s="108" t="str">
        <f>IFERROR(__xludf.DUMMYFUNCTION("""COMPUTED_VALUE"""),"Shaft 6P-15")</f>
        <v>Shaft 6P-15</v>
      </c>
      <c r="D328" s="108" t="str">
        <f>IFERROR(__xludf.DUMMYFUNCTION("""COMPUTED_VALUE"""),"6ºPav.")</f>
        <v>6ºPav.</v>
      </c>
      <c r="E328" s="108" t="str">
        <f>IFERROR(__xludf.DUMMYFUNCTION("""COMPUTED_VALUE"""),"A")</f>
        <v>A</v>
      </c>
      <c r="F328" s="108"/>
      <c r="G328" s="108"/>
      <c r="H328" s="108" t="str">
        <f>IFERROR(__xludf.DUMMYFUNCTION("""COMPUTED_VALUE"""),"Shaft")</f>
        <v>Shaft</v>
      </c>
      <c r="I328" s="108"/>
      <c r="J328" s="108" t="str">
        <f>IFERROR(__xludf.DUMMYFUNCTION("""COMPUTED_VALUE"""),"P15")</f>
        <v>P15</v>
      </c>
    </row>
    <row r="329">
      <c r="A329" s="108" t="str">
        <f>IFERROR(__xludf.DUMMYFUNCTION("""COMPUTED_VALUE"""),"6ºPav.-Shaft 6P-16")</f>
        <v>6ºPav.-Shaft 6P-16</v>
      </c>
      <c r="B329" s="108" t="str">
        <f>IFERROR(__xludf.DUMMYFUNCTION("""COMPUTED_VALUE"""),"6ºPav.")</f>
        <v>6ºPav.</v>
      </c>
      <c r="C329" s="108" t="str">
        <f>IFERROR(__xludf.DUMMYFUNCTION("""COMPUTED_VALUE"""),"Shaft 6P-16")</f>
        <v>Shaft 6P-16</v>
      </c>
      <c r="D329" s="108" t="str">
        <f>IFERROR(__xludf.DUMMYFUNCTION("""COMPUTED_VALUE"""),"6ºPav.")</f>
        <v>6ºPav.</v>
      </c>
      <c r="E329" s="108" t="str">
        <f>IFERROR(__xludf.DUMMYFUNCTION("""COMPUTED_VALUE"""),"A")</f>
        <v>A</v>
      </c>
      <c r="F329" s="108"/>
      <c r="G329" s="108"/>
      <c r="H329" s="108" t="str">
        <f>IFERROR(__xludf.DUMMYFUNCTION("""COMPUTED_VALUE"""),"Shaft")</f>
        <v>Shaft</v>
      </c>
      <c r="I329" s="108"/>
      <c r="J329" s="108" t="str">
        <f>IFERROR(__xludf.DUMMYFUNCTION("""COMPUTED_VALUE"""),"P16")</f>
        <v>P16</v>
      </c>
    </row>
    <row r="330">
      <c r="A330" s="108" t="str">
        <f>IFERROR(__xludf.DUMMYFUNCTION("""COMPUTED_VALUE"""),"6ºPav.-Shaft 6P-17")</f>
        <v>6ºPav.-Shaft 6P-17</v>
      </c>
      <c r="B330" s="108" t="str">
        <f>IFERROR(__xludf.DUMMYFUNCTION("""COMPUTED_VALUE"""),"6ºPav.")</f>
        <v>6ºPav.</v>
      </c>
      <c r="C330" s="108" t="str">
        <f>IFERROR(__xludf.DUMMYFUNCTION("""COMPUTED_VALUE"""),"Shaft 6P-17")</f>
        <v>Shaft 6P-17</v>
      </c>
      <c r="D330" s="108" t="str">
        <f>IFERROR(__xludf.DUMMYFUNCTION("""COMPUTED_VALUE"""),"6ºPav.")</f>
        <v>6ºPav.</v>
      </c>
      <c r="E330" s="108" t="str">
        <f>IFERROR(__xludf.DUMMYFUNCTION("""COMPUTED_VALUE"""),"A")</f>
        <v>A</v>
      </c>
      <c r="F330" s="108"/>
      <c r="G330" s="108"/>
      <c r="H330" s="108" t="str">
        <f>IFERROR(__xludf.DUMMYFUNCTION("""COMPUTED_VALUE"""),"Shaft")</f>
        <v>Shaft</v>
      </c>
      <c r="I330" s="108"/>
      <c r="J330" s="108" t="str">
        <f>IFERROR(__xludf.DUMMYFUNCTION("""COMPUTED_VALUE"""),"P17")</f>
        <v>P17</v>
      </c>
    </row>
    <row r="331">
      <c r="A331" s="109" t="str">
        <f>IFERROR(__xludf.DUMMYFUNCTION("""COMPUTED_VALUE"""),"6ºPav.-Vestiário Func. Feminino")</f>
        <v>6ºPav.-Vestiário Func. Feminino</v>
      </c>
      <c r="B331" s="108" t="str">
        <f>IFERROR(__xludf.DUMMYFUNCTION("""COMPUTED_VALUE"""),"6ºPav.")</f>
        <v>6ºPav.</v>
      </c>
      <c r="C331" s="108" t="str">
        <f>IFERROR(__xludf.DUMMYFUNCTION("""COMPUTED_VALUE"""),"Vestiário Func. Feminino")</f>
        <v>Vestiário Func. Feminino</v>
      </c>
      <c r="D331" s="108" t="str">
        <f>IFERROR(__xludf.DUMMYFUNCTION("""COMPUTED_VALUE"""),"6ºPav.")</f>
        <v>6ºPav.</v>
      </c>
      <c r="E331" s="108" t="str">
        <f>IFERROR(__xludf.DUMMYFUNCTION("""COMPUTED_VALUE"""),"B")</f>
        <v>B</v>
      </c>
      <c r="F331" s="108">
        <f>IFERROR(__xludf.DUMMYFUNCTION("""COMPUTED_VALUE"""),49.0)</f>
        <v>49</v>
      </c>
      <c r="G331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269a0627845a483e8cf9e1cf3e0721b6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269a0627845a483e8cf9e1cf3e0721b6</v>
      </c>
      <c r="H331" s="108" t="str">
        <f>IFERROR(__xludf.DUMMYFUNCTION("""COMPUTED_VALUE"""),"Vestiário")</f>
        <v>Vestiário</v>
      </c>
      <c r="I331" s="108"/>
      <c r="J331" s="108"/>
    </row>
    <row r="332">
      <c r="A332" s="109" t="str">
        <f>IFERROR(__xludf.DUMMYFUNCTION("""COMPUTED_VALUE"""),"6ºPav.-Vestiário Func. Masculino")</f>
        <v>6ºPav.-Vestiário Func. Masculino</v>
      </c>
      <c r="B332" s="108" t="str">
        <f>IFERROR(__xludf.DUMMYFUNCTION("""COMPUTED_VALUE"""),"6ºPav.")</f>
        <v>6ºPav.</v>
      </c>
      <c r="C332" s="108" t="str">
        <f>IFERROR(__xludf.DUMMYFUNCTION("""COMPUTED_VALUE"""),"Vestiário Func. Masculino")</f>
        <v>Vestiário Func. Masculino</v>
      </c>
      <c r="D332" s="108" t="str">
        <f>IFERROR(__xludf.DUMMYFUNCTION("""COMPUTED_VALUE"""),"6ºPav.")</f>
        <v>6ºPav.</v>
      </c>
      <c r="E332" s="108" t="str">
        <f>IFERROR(__xludf.DUMMYFUNCTION("""COMPUTED_VALUE"""),"B")</f>
        <v>B</v>
      </c>
      <c r="F332" s="108">
        <f>IFERROR(__xludf.DUMMYFUNCTION("""COMPUTED_VALUE"""),50.0)</f>
        <v>50</v>
      </c>
      <c r="G332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642e8c82fc16447f9d7c5c24994e960a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642e8c82fc16447f9d7c5c24994e960a</v>
      </c>
      <c r="H332" s="108" t="str">
        <f>IFERROR(__xludf.DUMMYFUNCTION("""COMPUTED_VALUE"""),"Vestiário")</f>
        <v>Vestiário</v>
      </c>
      <c r="I332" s="108"/>
      <c r="J332" s="108"/>
    </row>
    <row r="333">
      <c r="A333" s="109" t="str">
        <f>IFERROR(__xludf.DUMMYFUNCTION("""COMPUTED_VALUE"""),"6ºPav.-Vestiário Funcionários (barreira)")</f>
        <v>6ºPav.-Vestiário Funcionários (barreira)</v>
      </c>
      <c r="B333" s="108" t="str">
        <f>IFERROR(__xludf.DUMMYFUNCTION("""COMPUTED_VALUE"""),"6ºPav.")</f>
        <v>6ºPav.</v>
      </c>
      <c r="C333" s="108" t="str">
        <f>IFERROR(__xludf.DUMMYFUNCTION("""COMPUTED_VALUE"""),"Vestiário Funcionários (barreira)")</f>
        <v>Vestiário Funcionários (barreira)</v>
      </c>
      <c r="D333" s="108" t="str">
        <f>IFERROR(__xludf.DUMMYFUNCTION("""COMPUTED_VALUE"""),"6ºPav.")</f>
        <v>6ºPav.</v>
      </c>
      <c r="E333" s="108" t="str">
        <f>IFERROR(__xludf.DUMMYFUNCTION("""COMPUTED_VALUE"""),"B")</f>
        <v>B</v>
      </c>
      <c r="F333" s="108">
        <f>IFERROR(__xludf.DUMMYFUNCTION("""COMPUTED_VALUE"""),28.0)</f>
        <v>28</v>
      </c>
      <c r="G333" s="109" t="str">
        <f>IFERROR(__xludf.DUMMYFUNCTION("""COMPUTED_VALUE"""),"https://myhub.autodesk360.com/ue29d95bb/g/projects/20210514412106331/data/dXJuOmFkc2sud2lwcHJvZDpmcy5mb2xkZXI6Y28ucU04eGNtQzdReXliS0NURmJQYUFTQQ/dXJuOmFkc2sud2lwcHJvZDpkbS5saW5lYWdlOlIxcW9GQjZOUVVTSXcyeEtSdDd2dGc/viewer?version=1&amp;guid=6882be48-6626-5238-d"&amp;"3df-94e9f0a0019d&amp;commentId=urn:adsk.comments:social.comment:7c572bafa8b64186ab7409fbfaf328a0")</f>
        <v>https://myhub.autodesk360.com/ue29d95bb/g/projects/20210514412106331/data/dXJuOmFkc2sud2lwcHJvZDpmcy5mb2xkZXI6Y28ucU04eGNtQzdReXliS0NURmJQYUFTQQ/dXJuOmFkc2sud2lwcHJvZDpkbS5saW5lYWdlOlIxcW9GQjZOUVVTSXcyeEtSdDd2dGc/viewer?version=1&amp;guid=6882be48-6626-5238-d3df-94e9f0a0019d&amp;commentId=urn:adsk.comments:social.comment:7c572bafa8b64186ab7409fbfaf328a0</v>
      </c>
      <c r="H333" s="108" t="str">
        <f>IFERROR(__xludf.DUMMYFUNCTION("""COMPUTED_VALUE"""),"Farmácia")</f>
        <v>Farmácia</v>
      </c>
      <c r="I333" s="108"/>
      <c r="J333" s="108"/>
    </row>
    <row r="334">
      <c r="A334" s="109" t="str">
        <f>IFERROR(__xludf.DUMMYFUNCTION("""COMPUTED_VALUE"""),"CMaq.")</f>
        <v>CMaq.</v>
      </c>
      <c r="B334" s="108" t="str">
        <f>IFERROR(__xludf.DUMMYFUNCTION("""COMPUTED_VALUE"""),"CMaq.")</f>
        <v>CMaq.</v>
      </c>
      <c r="C334" s="108" t="str">
        <f>IFERROR(__xludf.DUMMYFUNCTION("""COMPUTED_VALUE"""),"CMaq.")</f>
        <v>CMaq.</v>
      </c>
      <c r="D334" s="108"/>
      <c r="E334" s="108"/>
      <c r="F334" s="108">
        <f>IFERROR(__xludf.DUMMYFUNCTION("""COMPUTED_VALUE"""),2.0)</f>
        <v>2</v>
      </c>
      <c r="G334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ac74aea21f7c494c9132b984bb3405c7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ac74aea21f7c494c9132b984bb3405c7&amp;showComments=1&amp;guid=6882be48-6626-5238-d3df-94e9f0a0019d</v>
      </c>
      <c r="H334" s="108" t="str">
        <f>IFERROR(__xludf.DUMMYFUNCTION("""COMPUTED_VALUE"""),"Geral")</f>
        <v>Geral</v>
      </c>
      <c r="I334" s="109" t="str">
        <f>IFERROR(__xludf.DUMMYFUNCTION("""COMPUTED_VALUE"""),"https://photos.google.com/share/AF1QipONT6Rnk_uloJKOu47N2TqG9MWp6cGPs6YKN1dl69ztRiO1wVYEL7wjmPVcSPHoJw?key=M1hOVzM3STNsS1RTWkJpWnVvVWsyWmZ1cXNQSXpB")</f>
        <v>https://photos.google.com/share/AF1QipONT6Rnk_uloJKOu47N2TqG9MWp6cGPs6YKN1dl69ztRiO1wVYEL7wjmPVcSPHoJw?key=M1hOVzM3STNsS1RTWkJpWnVvVWsyWmZ1cXNQSXpB</v>
      </c>
      <c r="J334" s="108"/>
    </row>
    <row r="335">
      <c r="A335" s="109" t="str">
        <f>IFERROR(__xludf.DUMMYFUNCTION("""COMPUTED_VALUE"""),"CMaq.-Reservatórios - Casa de Bombas")</f>
        <v>CMaq.-Reservatórios - Casa de Bombas</v>
      </c>
      <c r="B335" s="108" t="str">
        <f>IFERROR(__xludf.DUMMYFUNCTION("""COMPUTED_VALUE"""),"CMaq.")</f>
        <v>CMaq.</v>
      </c>
      <c r="C335" s="108" t="str">
        <f>IFERROR(__xludf.DUMMYFUNCTION("""COMPUTED_VALUE"""),"Reservatórios - Casa de Bombas")</f>
        <v>Reservatórios - Casa de Bombas</v>
      </c>
      <c r="D335" s="108" t="str">
        <f>IFERROR(__xludf.DUMMYFUNCTION("""COMPUTED_VALUE"""),"CMaq.")</f>
        <v>CMaq.</v>
      </c>
      <c r="E335" s="108" t="str">
        <f>IFERROR(__xludf.DUMMYFUNCTION("""COMPUTED_VALUE"""),"B")</f>
        <v>B</v>
      </c>
      <c r="F335" s="108">
        <f>IFERROR(__xludf.DUMMYFUNCTION("""COMPUTED_VALUE"""),33.0)</f>
        <v>33</v>
      </c>
      <c r="G335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showComments=1&amp;guid=6882b"&amp;"e48-6626-5238-d3df-94e9f0a0019d&amp;commentId=urn:adsk.comments:social.comment:80f848950add4311bea983b65c7bbb74")</f>
        <v>https://myhub.autodesk360.com/ue29d95bb/g/projects/20210514412106331/data/dXJuOmFkc2sud2lwcHJvZDpmcy5mb2xkZXI6Y28ucU04eGNtQzdReXliS0NURmJQYUFTQQ/dXJuOmFkc2sud2lwcHJvZDpkbS5saW5lYWdlOmNGNGdObGlMUmh1bHhPbkt6VkJhdXc/viewer?version=1&amp;showComments=1&amp;guid=6882be48-6626-5238-d3df-94e9f0a0019d&amp;commentId=urn:adsk.comments:social.comment:80f848950add4311bea983b65c7bbb74</v>
      </c>
      <c r="H335" s="108" t="str">
        <f>IFERROR(__xludf.DUMMYFUNCTION("""COMPUTED_VALUE"""),"Sala Máquina")</f>
        <v>Sala Máquina</v>
      </c>
      <c r="I335" s="109" t="str">
        <f>IFERROR(__xludf.DUMMYFUNCTION("""COMPUTED_VALUE"""),"https://photos.google.com/search/CMaq.-Reservat%C3%B3rios")</f>
        <v>https://photos.google.com/search/CMaq.-Reservat%C3%B3rios</v>
      </c>
      <c r="J335" s="108"/>
    </row>
    <row r="336">
      <c r="A336" s="109" t="str">
        <f>IFERROR(__xludf.DUMMYFUNCTION("""COMPUTED_VALUE"""),"Cob.")</f>
        <v>Cob.</v>
      </c>
      <c r="B336" s="108" t="str">
        <f>IFERROR(__xludf.DUMMYFUNCTION("""COMPUTED_VALUE"""),"Cob.")</f>
        <v>Cob.</v>
      </c>
      <c r="C336" s="108" t="str">
        <f>IFERROR(__xludf.DUMMYFUNCTION("""COMPUTED_VALUE"""),"Cob.")</f>
        <v>Cob.</v>
      </c>
      <c r="D336" s="108"/>
      <c r="E336" s="108"/>
      <c r="F336" s="108">
        <f>IFERROR(__xludf.DUMMYFUNCTION("""COMPUTED_VALUE"""),1.0)</f>
        <v>1</v>
      </c>
      <c r="G336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317aa62aa2874324a2da8523c651774f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317aa62aa2874324a2da8523c651774f&amp;showComments=1&amp;guid=6882be48-6626-5238-d3df-94e9f0a0019d</v>
      </c>
      <c r="H336" s="108" t="str">
        <f>IFERROR(__xludf.DUMMYFUNCTION("""COMPUTED_VALUE"""),"Geral")</f>
        <v>Geral</v>
      </c>
      <c r="I336" s="109" t="str">
        <f>IFERROR(__xludf.DUMMYFUNCTION("""COMPUTED_VALUE"""),"https://photos.google.com/share/AF1QipO7rxQRzYjoDn4x4jEw7CpjHs1CSeqq4rMyJFGTV7L178ibLOmz_I05hxGuaCUVjg?key=cmZ4bVJicVgxRVNsZ012TEZ6RXVEM0FFU1VfQzdn")</f>
        <v>https://photos.google.com/share/AF1QipO7rxQRzYjoDn4x4jEw7CpjHs1CSeqq4rMyJFGTV7L178ibLOmz_I05hxGuaCUVjg?key=cmZ4bVJicVgxRVNsZ012TEZ6RXVEM0FFU1VfQzdn</v>
      </c>
      <c r="J336" s="108"/>
    </row>
    <row r="337">
      <c r="A337" s="109" t="str">
        <f>IFERROR(__xludf.DUMMYFUNCTION("""COMPUTED_VALUE"""),"Cob.-Casa de Máquinas Climatizadores e Exaustores Farmácia")</f>
        <v>Cob.-Casa de Máquinas Climatizadores e Exaustores Farmácia</v>
      </c>
      <c r="B337" s="108" t="str">
        <f>IFERROR(__xludf.DUMMYFUNCTION("""COMPUTED_VALUE"""),"Cob.")</f>
        <v>Cob.</v>
      </c>
      <c r="C337" s="108" t="str">
        <f>IFERROR(__xludf.DUMMYFUNCTION("""COMPUTED_VALUE"""),"Casa de Máquinas Climatizadores e Exaustores Farmácia")</f>
        <v>Casa de Máquinas Climatizadores e Exaustores Farmácia</v>
      </c>
      <c r="D337" s="108" t="str">
        <f>IFERROR(__xludf.DUMMYFUNCTION("""COMPUTED_VALUE"""),"Cob.")</f>
        <v>Cob.</v>
      </c>
      <c r="E337" s="108" t="str">
        <f>IFERROR(__xludf.DUMMYFUNCTION("""COMPUTED_VALUE"""),"B")</f>
        <v>B</v>
      </c>
      <c r="F337" s="108">
        <f>IFERROR(__xludf.DUMMYFUNCTION("""COMPUTED_VALUE"""),16.0)</f>
        <v>16</v>
      </c>
      <c r="G337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be4ea21349ec46d995a19ff96536fc0d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be4ea21349ec46d995a19ff96536fc0d&amp;showComments=1&amp;guid=6882be48-6626-5238-d3df-94e9f0a0019d</v>
      </c>
      <c r="H337" s="108" t="str">
        <f>IFERROR(__xludf.DUMMYFUNCTION("""COMPUTED_VALUE"""),"Sala Máquina")</f>
        <v>Sala Máquina</v>
      </c>
      <c r="I337" s="109" t="str">
        <f>IFERROR(__xludf.DUMMYFUNCTION("""COMPUTED_VALUE"""),"https://photos.google.com/search/Cob.-Sala%20Ar%20Condicionado%20-%20CM-C.10")</f>
        <v>https://photos.google.com/search/Cob.-Sala%20Ar%20Condicionado%20-%20CM-C.10</v>
      </c>
      <c r="J337" s="108"/>
    </row>
    <row r="338">
      <c r="A338" s="109" t="str">
        <f>IFERROR(__xludf.DUMMYFUNCTION("""COMPUTED_VALUE"""),"Cob.-Casa de Maquinas Elevador de Emergência 01")</f>
        <v>Cob.-Casa de Maquinas Elevador de Emergência 01</v>
      </c>
      <c r="B338" s="108" t="str">
        <f>IFERROR(__xludf.DUMMYFUNCTION("""COMPUTED_VALUE"""),"Cob.")</f>
        <v>Cob.</v>
      </c>
      <c r="C338" s="108" t="str">
        <f>IFERROR(__xludf.DUMMYFUNCTION("""COMPUTED_VALUE"""),"Casa de Maquinas Elevador de Emergência 01")</f>
        <v>Casa de Maquinas Elevador de Emergência 01</v>
      </c>
      <c r="D338" s="108" t="str">
        <f>IFERROR(__xludf.DUMMYFUNCTION("""COMPUTED_VALUE"""),"Cob.")</f>
        <v>Cob.</v>
      </c>
      <c r="E338" s="108" t="str">
        <f>IFERROR(__xludf.DUMMYFUNCTION("""COMPUTED_VALUE"""),"A")</f>
        <v>A</v>
      </c>
      <c r="F338" s="108">
        <f>IFERROR(__xludf.DUMMYFUNCTION("""COMPUTED_VALUE"""),7.0)</f>
        <v>7</v>
      </c>
      <c r="G338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862a7414641d435ba5b1447756415ac6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862a7414641d435ba5b1447756415ac6&amp;showComments=1&amp;guid=6882be48-6626-5238-d3df-94e9f0a0019d</v>
      </c>
      <c r="H338" s="108" t="str">
        <f>IFERROR(__xludf.DUMMYFUNCTION("""COMPUTED_VALUE"""),"Sala Máquina")</f>
        <v>Sala Máquina</v>
      </c>
      <c r="I338" s="108"/>
      <c r="J338" s="108"/>
    </row>
    <row r="339">
      <c r="A339" s="109" t="str">
        <f>IFERROR(__xludf.DUMMYFUNCTION("""COMPUTED_VALUE"""),"Cob.-Casa de Maquinas Elevadores - CM-C.19")</f>
        <v>Cob.-Casa de Maquinas Elevadores - CM-C.19</v>
      </c>
      <c r="B339" s="108" t="str">
        <f>IFERROR(__xludf.DUMMYFUNCTION("""COMPUTED_VALUE"""),"Cob.")</f>
        <v>Cob.</v>
      </c>
      <c r="C339" s="108" t="str">
        <f>IFERROR(__xludf.DUMMYFUNCTION("""COMPUTED_VALUE"""),"Casa de Maquinas Elevadores - CM-C.19")</f>
        <v>Casa de Maquinas Elevadores - CM-C.19</v>
      </c>
      <c r="D339" s="108" t="str">
        <f>IFERROR(__xludf.DUMMYFUNCTION("""COMPUTED_VALUE"""),"Cob.")</f>
        <v>Cob.</v>
      </c>
      <c r="E339" s="108" t="str">
        <f>IFERROR(__xludf.DUMMYFUNCTION("""COMPUTED_VALUE"""),"B")</f>
        <v>B</v>
      </c>
      <c r="F339" s="108">
        <f>IFERROR(__xludf.DUMMYFUNCTION("""COMPUTED_VALUE"""),26.0)</f>
        <v>26</v>
      </c>
      <c r="G339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954d430d215a463a9b2d351bcad7425f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954d430d215a463a9b2d351bcad7425f&amp;showComments=1&amp;guid=6882be48-6626-5238-d3df-94e9f0a0019d</v>
      </c>
      <c r="H339" s="108" t="str">
        <f>IFERROR(__xludf.DUMMYFUNCTION("""COMPUTED_VALUE"""),"Sala Máquina")</f>
        <v>Sala Máquina</v>
      </c>
      <c r="I339" s="108"/>
      <c r="J339" s="108"/>
    </row>
    <row r="340">
      <c r="A340" s="109" t="str">
        <f>IFERROR(__xludf.DUMMYFUNCTION("""COMPUTED_VALUE"""),"Cob.-Casa de Maquinas Elevadores - CM-C.2")</f>
        <v>Cob.-Casa de Maquinas Elevadores - CM-C.2</v>
      </c>
      <c r="B340" s="108" t="str">
        <f>IFERROR(__xludf.DUMMYFUNCTION("""COMPUTED_VALUE"""),"Cob.")</f>
        <v>Cob.</v>
      </c>
      <c r="C340" s="108" t="str">
        <f>IFERROR(__xludf.DUMMYFUNCTION("""COMPUTED_VALUE"""),"Casa de Maquinas Elevadores - CM-C.2")</f>
        <v>Casa de Maquinas Elevadores - CM-C.2</v>
      </c>
      <c r="D340" s="108" t="str">
        <f>IFERROR(__xludf.DUMMYFUNCTION("""COMPUTED_VALUE"""),"Cob.")</f>
        <v>Cob.</v>
      </c>
      <c r="E340" s="108" t="str">
        <f>IFERROR(__xludf.DUMMYFUNCTION("""COMPUTED_VALUE"""),"A")</f>
        <v>A</v>
      </c>
      <c r="F340" s="108">
        <f>IFERROR(__xludf.DUMMYFUNCTION("""COMPUTED_VALUE"""),8.0)</f>
        <v>8</v>
      </c>
      <c r="G340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1688a814adee4e4e8c712a67474b98ab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1688a814adee4e4e8c712a67474b98ab&amp;showComments=1&amp;guid=6882be48-6626-5238-d3df-94e9f0a0019d</v>
      </c>
      <c r="H340" s="108" t="str">
        <f>IFERROR(__xludf.DUMMYFUNCTION("""COMPUTED_VALUE"""),"Sala Máquina")</f>
        <v>Sala Máquina</v>
      </c>
      <c r="I340" s="108"/>
      <c r="J340" s="108"/>
    </row>
    <row r="341">
      <c r="A341" s="109" t="str">
        <f>IFERROR(__xludf.DUMMYFUNCTION("""COMPUTED_VALUE"""),"Cob.-Casa de Maquinas Elevadores de Serviço")</f>
        <v>Cob.-Casa de Maquinas Elevadores de Serviço</v>
      </c>
      <c r="B341" s="108" t="str">
        <f>IFERROR(__xludf.DUMMYFUNCTION("""COMPUTED_VALUE"""),"Cob.")</f>
        <v>Cob.</v>
      </c>
      <c r="C341" s="108" t="str">
        <f>IFERROR(__xludf.DUMMYFUNCTION("""COMPUTED_VALUE"""),"Casa de Maquinas Elevadores de Serviço")</f>
        <v>Casa de Maquinas Elevadores de Serviço</v>
      </c>
      <c r="D341" s="108" t="str">
        <f>IFERROR(__xludf.DUMMYFUNCTION("""COMPUTED_VALUE"""),"Cob.")</f>
        <v>Cob.</v>
      </c>
      <c r="E341" s="108" t="str">
        <f>IFERROR(__xludf.DUMMYFUNCTION("""COMPUTED_VALUE"""),"B")</f>
        <v>B</v>
      </c>
      <c r="F341" s="108">
        <f>IFERROR(__xludf.DUMMYFUNCTION("""COMPUTED_VALUE"""),25.0)</f>
        <v>25</v>
      </c>
      <c r="G341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397cfe8d20c34787b9ea0df124d5d793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397cfe8d20c34787b9ea0df124d5d793&amp;showComments=1&amp;guid=6882be48-6626-5238-d3df-94e9f0a0019d</v>
      </c>
      <c r="H341" s="108" t="str">
        <f>IFERROR(__xludf.DUMMYFUNCTION("""COMPUTED_VALUE"""),"Sala Máquina")</f>
        <v>Sala Máquina</v>
      </c>
      <c r="I341" s="108"/>
      <c r="J341" s="108"/>
    </row>
    <row r="342">
      <c r="A342" s="109" t="str">
        <f>IFERROR(__xludf.DUMMYFUNCTION("""COMPUTED_VALUE"""),"Cob.-Casa de Máquinas Exaustão - 05")</f>
        <v>Cob.-Casa de Máquinas Exaustão - 05</v>
      </c>
      <c r="B342" s="108" t="str">
        <f>IFERROR(__xludf.DUMMYFUNCTION("""COMPUTED_VALUE"""),"Cob.")</f>
        <v>Cob.</v>
      </c>
      <c r="C342" s="108" t="str">
        <f>IFERROR(__xludf.DUMMYFUNCTION("""COMPUTED_VALUE"""),"Casa de Máquinas Exaustão - 05")</f>
        <v>Casa de Máquinas Exaustão - 05</v>
      </c>
      <c r="D342" s="108" t="str">
        <f>IFERROR(__xludf.DUMMYFUNCTION("""COMPUTED_VALUE"""),"Cob.")</f>
        <v>Cob.</v>
      </c>
      <c r="E342" s="108" t="str">
        <f>IFERROR(__xludf.DUMMYFUNCTION("""COMPUTED_VALUE"""),"B")</f>
        <v>B</v>
      </c>
      <c r="F342" s="108">
        <f>IFERROR(__xludf.DUMMYFUNCTION("""COMPUTED_VALUE"""),17.0)</f>
        <v>17</v>
      </c>
      <c r="G342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c4bcfeb7ea0e4ea5b71e9e58b24f3605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c4bcfeb7ea0e4ea5b71e9e58b24f3605&amp;showComments=1&amp;guid=6882be48-6626-5238-d3df-94e9f0a0019d</v>
      </c>
      <c r="H342" s="108" t="str">
        <f>IFERROR(__xludf.DUMMYFUNCTION("""COMPUTED_VALUE"""),"Sala Máquina")</f>
        <v>Sala Máquina</v>
      </c>
      <c r="I342" s="108"/>
      <c r="J342" s="108"/>
    </row>
    <row r="343">
      <c r="A343" s="109" t="str">
        <f>IFERROR(__xludf.DUMMYFUNCTION("""COMPUTED_VALUE"""),"Cob.-Circulação Hall Elevadores Setor A")</f>
        <v>Cob.-Circulação Hall Elevadores Setor A</v>
      </c>
      <c r="B343" s="108" t="str">
        <f>IFERROR(__xludf.DUMMYFUNCTION("""COMPUTED_VALUE"""),"Cob.")</f>
        <v>Cob.</v>
      </c>
      <c r="C343" s="108" t="str">
        <f>IFERROR(__xludf.DUMMYFUNCTION("""COMPUTED_VALUE"""),"Circulação Hall Elevadores Setor A")</f>
        <v>Circulação Hall Elevadores Setor A</v>
      </c>
      <c r="D343" s="108" t="str">
        <f>IFERROR(__xludf.DUMMYFUNCTION("""COMPUTED_VALUE"""),"Cob.")</f>
        <v>Cob.</v>
      </c>
      <c r="E343" s="108" t="str">
        <f>IFERROR(__xludf.DUMMYFUNCTION("""COMPUTED_VALUE"""),"A")</f>
        <v>A</v>
      </c>
      <c r="F343" s="108">
        <f>IFERROR(__xludf.DUMMYFUNCTION("""COMPUTED_VALUE"""),32.0)</f>
        <v>32</v>
      </c>
      <c r="G343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74e48c31d4f44a27a63b9afc368f4629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74e48c31d4f44a27a63b9afc368f4629&amp;showComments=1&amp;guid=6882be48-6626-5238-d3df-94e9f0a0019d</v>
      </c>
      <c r="H343" s="108" t="str">
        <f>IFERROR(__xludf.DUMMYFUNCTION("""COMPUTED_VALUE"""),"Circulação / Corredores")</f>
        <v>Circulação / Corredores</v>
      </c>
      <c r="I343" s="109" t="str">
        <f>IFERROR(__xludf.DUMMYFUNCTION("""COMPUTED_VALUE"""),"https://photos.google.com/search/Cob.-Circula%C3%A7%C3%A3o%20Hall%20Elevadores%20Setor%20A")</f>
        <v>https://photos.google.com/search/Cob.-Circula%C3%A7%C3%A3o%20Hall%20Elevadores%20Setor%20A</v>
      </c>
      <c r="J343" s="108"/>
    </row>
    <row r="344">
      <c r="A344" s="109" t="str">
        <f>IFERROR(__xludf.DUMMYFUNCTION("""COMPUTED_VALUE"""),"Cob.-Circulação Hall Elevadores Setor B")</f>
        <v>Cob.-Circulação Hall Elevadores Setor B</v>
      </c>
      <c r="B344" s="108" t="str">
        <f>IFERROR(__xludf.DUMMYFUNCTION("""COMPUTED_VALUE"""),"Cob.")</f>
        <v>Cob.</v>
      </c>
      <c r="C344" s="108" t="str">
        <f>IFERROR(__xludf.DUMMYFUNCTION("""COMPUTED_VALUE"""),"Circulação Hall Elevadores Setor B")</f>
        <v>Circulação Hall Elevadores Setor B</v>
      </c>
      <c r="D344" s="108" t="str">
        <f>IFERROR(__xludf.DUMMYFUNCTION("""COMPUTED_VALUE"""),"Cob.")</f>
        <v>Cob.</v>
      </c>
      <c r="E344" s="108" t="str">
        <f>IFERROR(__xludf.DUMMYFUNCTION("""COMPUTED_VALUE"""),"B")</f>
        <v>B</v>
      </c>
      <c r="F344" s="108">
        <f>IFERROR(__xludf.DUMMYFUNCTION("""COMPUTED_VALUE"""),31.0)</f>
        <v>31</v>
      </c>
      <c r="G344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dc44a840f31246c19e1f587008117d70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dc44a840f31246c19e1f587008117d70&amp;showComments=1&amp;guid=6882be48-6626-5238-d3df-94e9f0a0019d</v>
      </c>
      <c r="H344" s="108" t="str">
        <f>IFERROR(__xludf.DUMMYFUNCTION("""COMPUTED_VALUE"""),"Circulação / Corredores")</f>
        <v>Circulação / Corredores</v>
      </c>
      <c r="I344" s="109" t="str">
        <f>IFERROR(__xludf.DUMMYFUNCTION("""COMPUTED_VALUE"""),"https://photos.google.com/search/Cob.-Circula%C3%A7%C3%A3o%20Hall%20Elevadores%20Setor%20B")</f>
        <v>https://photos.google.com/search/Cob.-Circula%C3%A7%C3%A3o%20Hall%20Elevadores%20Setor%20B</v>
      </c>
      <c r="J344" s="108"/>
    </row>
    <row r="345">
      <c r="A345" s="109" t="str">
        <f>IFERROR(__xludf.DUMMYFUNCTION("""COMPUTED_VALUE"""),"Cob.-Hall Elevador Público")</f>
        <v>Cob.-Hall Elevador Público</v>
      </c>
      <c r="B345" s="108" t="str">
        <f>IFERROR(__xludf.DUMMYFUNCTION("""COMPUTED_VALUE"""),"Cob.")</f>
        <v>Cob.</v>
      </c>
      <c r="C345" s="108" t="str">
        <f>IFERROR(__xludf.DUMMYFUNCTION("""COMPUTED_VALUE"""),"Hall Elevador Público")</f>
        <v>Hall Elevador Público</v>
      </c>
      <c r="D345" s="108" t="str">
        <f>IFERROR(__xludf.DUMMYFUNCTION("""COMPUTED_VALUE"""),"Cob.")</f>
        <v>Cob.</v>
      </c>
      <c r="E345" s="108" t="str">
        <f>IFERROR(__xludf.DUMMYFUNCTION("""COMPUTED_VALUE"""),"A")</f>
        <v>A</v>
      </c>
      <c r="F345" s="108">
        <f>IFERROR(__xludf.DUMMYFUNCTION("""COMPUTED_VALUE"""),32.0)</f>
        <v>32</v>
      </c>
      <c r="G345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guid=6882be48-6626-5238-d"&amp;"3df-94e9f0a0019d&amp;commentId=urn:adsk.comments:social.comment:74e48c31d4f44a27a63b9afc368f4629")</f>
        <v>https://myhub.autodesk360.com/ue29d95bb/g/projects/20210514412106331/data/dXJuOmFkc2sud2lwcHJvZDpmcy5mb2xkZXI6Y28ucU04eGNtQzdReXliS0NURmJQYUFTQQ/dXJuOmFkc2sud2lwcHJvZDpkbS5saW5lYWdlOmNGNGdObGlMUmh1bHhPbkt6VkJhdXc/viewer?version=1&amp;guid=6882be48-6626-5238-d3df-94e9f0a0019d&amp;commentId=urn:adsk.comments:social.comment:74e48c31d4f44a27a63b9afc368f4629</v>
      </c>
      <c r="H345" s="108" t="str">
        <f>IFERROR(__xludf.DUMMYFUNCTION("""COMPUTED_VALUE"""),"Circulação / Corredores")</f>
        <v>Circulação / Corredores</v>
      </c>
      <c r="I345" s="108"/>
      <c r="J345" s="108"/>
    </row>
    <row r="346">
      <c r="A346" s="109" t="str">
        <f>IFERROR(__xludf.DUMMYFUNCTION("""COMPUTED_VALUE"""),"Cob.-Hall Elevador Serviço")</f>
        <v>Cob.-Hall Elevador Serviço</v>
      </c>
      <c r="B346" s="108" t="str">
        <f>IFERROR(__xludf.DUMMYFUNCTION("""COMPUTED_VALUE"""),"Cob.")</f>
        <v>Cob.</v>
      </c>
      <c r="C346" s="108" t="str">
        <f>IFERROR(__xludf.DUMMYFUNCTION("""COMPUTED_VALUE"""),"Hall Elevador Serviço")</f>
        <v>Hall Elevador Serviço</v>
      </c>
      <c r="D346" s="108" t="str">
        <f>IFERROR(__xludf.DUMMYFUNCTION("""COMPUTED_VALUE"""),"Cob.")</f>
        <v>Cob.</v>
      </c>
      <c r="E346" s="108" t="str">
        <f>IFERROR(__xludf.DUMMYFUNCTION("""COMPUTED_VALUE"""),"B")</f>
        <v>B</v>
      </c>
      <c r="F346" s="108">
        <f>IFERROR(__xludf.DUMMYFUNCTION("""COMPUTED_VALUE"""),31.0)</f>
        <v>31</v>
      </c>
      <c r="G346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guid=6882be48-6626-5238-d"&amp;"3df-94e9f0a0019d&amp;commentId=urn:adsk.comments:social.comment:dc44a840f31246c19e1f587008117d70")</f>
        <v>https://myhub.autodesk360.com/ue29d95bb/g/projects/20210514412106331/data/dXJuOmFkc2sud2lwcHJvZDpmcy5mb2xkZXI6Y28ucU04eGNtQzdReXliS0NURmJQYUFTQQ/dXJuOmFkc2sud2lwcHJvZDpkbS5saW5lYWdlOmNGNGdObGlMUmh1bHhPbkt6VkJhdXc/viewer?version=1&amp;guid=6882be48-6626-5238-d3df-94e9f0a0019d&amp;commentId=urn:adsk.comments:social.comment:dc44a840f31246c19e1f587008117d70</v>
      </c>
      <c r="H346" s="108" t="str">
        <f>IFERROR(__xludf.DUMMYFUNCTION("""COMPUTED_VALUE"""),"Circulação / Corredores")</f>
        <v>Circulação / Corredores</v>
      </c>
      <c r="I346" s="108"/>
      <c r="J346" s="108"/>
    </row>
    <row r="347">
      <c r="A347" s="109" t="str">
        <f>IFERROR(__xludf.DUMMYFUNCTION("""COMPUTED_VALUE"""),"Cob.-Sala Ar Condicionado - CM-C.13")</f>
        <v>Cob.-Sala Ar Condicionado - CM-C.13</v>
      </c>
      <c r="B347" s="108" t="str">
        <f>IFERROR(__xludf.DUMMYFUNCTION("""COMPUTED_VALUE"""),"Cob.")</f>
        <v>Cob.</v>
      </c>
      <c r="C347" s="108" t="str">
        <f>IFERROR(__xludf.DUMMYFUNCTION("""COMPUTED_VALUE"""),"Sala Ar Condicionado - CM-C.13")</f>
        <v>Sala Ar Condicionado - CM-C.13</v>
      </c>
      <c r="D347" s="108" t="str">
        <f>IFERROR(__xludf.DUMMYFUNCTION("""COMPUTED_VALUE"""),"Cob.")</f>
        <v>Cob.</v>
      </c>
      <c r="E347" s="108" t="str">
        <f>IFERROR(__xludf.DUMMYFUNCTION("""COMPUTED_VALUE"""),"B")</f>
        <v>B</v>
      </c>
      <c r="F347" s="108">
        <f>IFERROR(__xludf.DUMMYFUNCTION("""COMPUTED_VALUE"""),20.0)</f>
        <v>20</v>
      </c>
      <c r="G347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66963e592caf4ff5b6803202d821e9c5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66963e592caf4ff5b6803202d821e9c5&amp;showComments=1&amp;guid=6882be48-6626-5238-d3df-94e9f0a0019d</v>
      </c>
      <c r="H347" s="108" t="str">
        <f>IFERROR(__xludf.DUMMYFUNCTION("""COMPUTED_VALUE"""),"Sala Máquina")</f>
        <v>Sala Máquina</v>
      </c>
      <c r="I347" s="109" t="str">
        <f>IFERROR(__xludf.DUMMYFUNCTION("""COMPUTED_VALUE"""),"https://photos.google.com/search/Cob.-Sala%20Ar%20Condicionado%20-%20CM-C.13")</f>
        <v>https://photos.google.com/search/Cob.-Sala%20Ar%20Condicionado%20-%20CM-C.13</v>
      </c>
      <c r="J347" s="108"/>
    </row>
    <row r="348">
      <c r="A348" s="109" t="str">
        <f>IFERROR(__xludf.DUMMYFUNCTION("""COMPUTED_VALUE"""),"Cob.-Sala Ar Condicionado - CM-C.14")</f>
        <v>Cob.-Sala Ar Condicionado - CM-C.14</v>
      </c>
      <c r="B348" s="108" t="str">
        <f>IFERROR(__xludf.DUMMYFUNCTION("""COMPUTED_VALUE"""),"Cob.")</f>
        <v>Cob.</v>
      </c>
      <c r="C348" s="108" t="str">
        <f>IFERROR(__xludf.DUMMYFUNCTION("""COMPUTED_VALUE"""),"Sala Ar Condicionado - CM-C.14")</f>
        <v>Sala Ar Condicionado - CM-C.14</v>
      </c>
      <c r="D348" s="108" t="str">
        <f>IFERROR(__xludf.DUMMYFUNCTION("""COMPUTED_VALUE"""),"Cob.")</f>
        <v>Cob.</v>
      </c>
      <c r="E348" s="108" t="str">
        <f>IFERROR(__xludf.DUMMYFUNCTION("""COMPUTED_VALUE"""),"B")</f>
        <v>B</v>
      </c>
      <c r="F348" s="108">
        <f>IFERROR(__xludf.DUMMYFUNCTION("""COMPUTED_VALUE"""),21.0)</f>
        <v>21</v>
      </c>
      <c r="G348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b5169eaede5a4dceaf4e31b7163d6e14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b5169eaede5a4dceaf4e31b7163d6e14&amp;showComments=1&amp;guid=6882be48-6626-5238-d3df-94e9f0a0019d</v>
      </c>
      <c r="H348" s="108" t="str">
        <f>IFERROR(__xludf.DUMMYFUNCTION("""COMPUTED_VALUE"""),"Sala Máquina")</f>
        <v>Sala Máquina</v>
      </c>
      <c r="I348" s="108"/>
      <c r="J348" s="108"/>
    </row>
    <row r="349">
      <c r="A349" s="109" t="str">
        <f>IFERROR(__xludf.DUMMYFUNCTION("""COMPUTED_VALUE"""),"Cob.-Sala Ar Condicionado - CM-C.15")</f>
        <v>Cob.-Sala Ar Condicionado - CM-C.15</v>
      </c>
      <c r="B349" s="108" t="str">
        <f>IFERROR(__xludf.DUMMYFUNCTION("""COMPUTED_VALUE"""),"Cob.")</f>
        <v>Cob.</v>
      </c>
      <c r="C349" s="108" t="str">
        <f>IFERROR(__xludf.DUMMYFUNCTION("""COMPUTED_VALUE"""),"Sala Ar Condicionado - CM-C.15")</f>
        <v>Sala Ar Condicionado - CM-C.15</v>
      </c>
      <c r="D349" s="108" t="str">
        <f>IFERROR(__xludf.DUMMYFUNCTION("""COMPUTED_VALUE"""),"Cob.")</f>
        <v>Cob.</v>
      </c>
      <c r="E349" s="108" t="str">
        <f>IFERROR(__xludf.DUMMYFUNCTION("""COMPUTED_VALUE"""),"B")</f>
        <v>B</v>
      </c>
      <c r="F349" s="108">
        <f>IFERROR(__xludf.DUMMYFUNCTION("""COMPUTED_VALUE"""),22.0)</f>
        <v>22</v>
      </c>
      <c r="G349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9c134dcc73634c9cb6357db7b7639b10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9c134dcc73634c9cb6357db7b7639b10&amp;showComments=1&amp;guid=6882be48-6626-5238-d3df-94e9f0a0019d</v>
      </c>
      <c r="H349" s="108" t="str">
        <f>IFERROR(__xludf.DUMMYFUNCTION("""COMPUTED_VALUE"""),"Sala Máquina")</f>
        <v>Sala Máquina</v>
      </c>
      <c r="I349" s="108"/>
      <c r="J349" s="108"/>
    </row>
    <row r="350">
      <c r="A350" s="109" t="str">
        <f>IFERROR(__xludf.DUMMYFUNCTION("""COMPUTED_VALUE"""),"Cob.-Sala Ar Condicionado - CM-C.5")</f>
        <v>Cob.-Sala Ar Condicionado - CM-C.5</v>
      </c>
      <c r="B350" s="108" t="str">
        <f>IFERROR(__xludf.DUMMYFUNCTION("""COMPUTED_VALUE"""),"Cob.")</f>
        <v>Cob.</v>
      </c>
      <c r="C350" s="108" t="str">
        <f>IFERROR(__xludf.DUMMYFUNCTION("""COMPUTED_VALUE"""),"Sala Ar Condicionado - CM-C.5")</f>
        <v>Sala Ar Condicionado - CM-C.5</v>
      </c>
      <c r="D350" s="108" t="str">
        <f>IFERROR(__xludf.DUMMYFUNCTION("""COMPUTED_VALUE"""),"Cob.")</f>
        <v>Cob.</v>
      </c>
      <c r="E350" s="108" t="str">
        <f>IFERROR(__xludf.DUMMYFUNCTION("""COMPUTED_VALUE"""),"A")</f>
        <v>A</v>
      </c>
      <c r="F350" s="108">
        <f>IFERROR(__xludf.DUMMYFUNCTION("""COMPUTED_VALUE"""),11.0)</f>
        <v>11</v>
      </c>
      <c r="G350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5ec3bf7db2b44d449d5dd0563fe8d6f0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5ec3bf7db2b44d449d5dd0563fe8d6f0&amp;showComments=1&amp;guid=6882be48-6626-5238-d3df-94e9f0a0019d</v>
      </c>
      <c r="H350" s="108" t="str">
        <f>IFERROR(__xludf.DUMMYFUNCTION("""COMPUTED_VALUE"""),"Sala Máquina")</f>
        <v>Sala Máquina</v>
      </c>
      <c r="I350" s="109" t="str">
        <f>IFERROR(__xludf.DUMMYFUNCTION("""COMPUTED_VALUE"""),"https://photos.google.com/search/Cob.-Sala%20Ar%20Condicionado%20-%20CM-C.5")</f>
        <v>https://photos.google.com/search/Cob.-Sala%20Ar%20Condicionado%20-%20CM-C.5</v>
      </c>
      <c r="J350" s="108"/>
    </row>
    <row r="351">
      <c r="A351" s="109" t="str">
        <f>IFERROR(__xludf.DUMMYFUNCTION("""COMPUTED_VALUE"""),"Cob.-Sala Ar Condicionado - CM-C.6")</f>
        <v>Cob.-Sala Ar Condicionado - CM-C.6</v>
      </c>
      <c r="B351" s="108" t="str">
        <f>IFERROR(__xludf.DUMMYFUNCTION("""COMPUTED_VALUE"""),"Cob.")</f>
        <v>Cob.</v>
      </c>
      <c r="C351" s="108" t="str">
        <f>IFERROR(__xludf.DUMMYFUNCTION("""COMPUTED_VALUE"""),"Sala Ar Condicionado - CM-C.6")</f>
        <v>Sala Ar Condicionado - CM-C.6</v>
      </c>
      <c r="D351" s="108" t="str">
        <f>IFERROR(__xludf.DUMMYFUNCTION("""COMPUTED_VALUE"""),"Cob.")</f>
        <v>Cob.</v>
      </c>
      <c r="E351" s="108" t="str">
        <f>IFERROR(__xludf.DUMMYFUNCTION("""COMPUTED_VALUE"""),"A")</f>
        <v>A</v>
      </c>
      <c r="F351" s="108">
        <f>IFERROR(__xludf.DUMMYFUNCTION("""COMPUTED_VALUE"""),12.0)</f>
        <v>12</v>
      </c>
      <c r="G351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bd21f4a20b6044bba370eb86db25fa55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bd21f4a20b6044bba370eb86db25fa55&amp;showComments=1&amp;guid=6882be48-6626-5238-d3df-94e9f0a0019d</v>
      </c>
      <c r="H351" s="108" t="str">
        <f>IFERROR(__xludf.DUMMYFUNCTION("""COMPUTED_VALUE"""),"Sala Máquina")</f>
        <v>Sala Máquina</v>
      </c>
      <c r="I351" s="109" t="str">
        <f>IFERROR(__xludf.DUMMYFUNCTION("""COMPUTED_VALUE"""),"https://photos.google.com/search/Cob.-Sala%20Ar%20Condicionado%20-%20CM-C.6")</f>
        <v>https://photos.google.com/search/Cob.-Sala%20Ar%20Condicionado%20-%20CM-C.6</v>
      </c>
      <c r="J351" s="108"/>
    </row>
    <row r="352">
      <c r="A352" s="109" t="str">
        <f>IFERROR(__xludf.DUMMYFUNCTION("""COMPUTED_VALUE"""),"Cob.-Sala Ar Condicionado - CM-C.7")</f>
        <v>Cob.-Sala Ar Condicionado - CM-C.7</v>
      </c>
      <c r="B352" s="108" t="str">
        <f>IFERROR(__xludf.DUMMYFUNCTION("""COMPUTED_VALUE"""),"Cob.")</f>
        <v>Cob.</v>
      </c>
      <c r="C352" s="108" t="str">
        <f>IFERROR(__xludf.DUMMYFUNCTION("""COMPUTED_VALUE"""),"Sala Ar Condicionado - CM-C.7")</f>
        <v>Sala Ar Condicionado - CM-C.7</v>
      </c>
      <c r="D352" s="108" t="str">
        <f>IFERROR(__xludf.DUMMYFUNCTION("""COMPUTED_VALUE"""),"Cob.")</f>
        <v>Cob.</v>
      </c>
      <c r="E352" s="108" t="str">
        <f>IFERROR(__xludf.DUMMYFUNCTION("""COMPUTED_VALUE"""),"A")</f>
        <v>A</v>
      </c>
      <c r="F352" s="108">
        <f>IFERROR(__xludf.DUMMYFUNCTION("""COMPUTED_VALUE"""),13.0)</f>
        <v>13</v>
      </c>
      <c r="G352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a34e4a902a84487197dc7840c950805e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a34e4a902a84487197dc7840c950805e&amp;showComments=1&amp;guid=6882be48-6626-5238-d3df-94e9f0a0019d</v>
      </c>
      <c r="H352" s="108" t="str">
        <f>IFERROR(__xludf.DUMMYFUNCTION("""COMPUTED_VALUE"""),"Sala Máquina")</f>
        <v>Sala Máquina</v>
      </c>
      <c r="I352" s="109" t="str">
        <f>IFERROR(__xludf.DUMMYFUNCTION("""COMPUTED_VALUE"""),"https://photos.google.com/search/Cob.-Sala%20Ar%20Condicionado%20-%20CM-C.7")</f>
        <v>https://photos.google.com/search/Cob.-Sala%20Ar%20Condicionado%20-%20CM-C.7</v>
      </c>
      <c r="J352" s="108"/>
    </row>
    <row r="353">
      <c r="A353" s="109" t="str">
        <f>IFERROR(__xludf.DUMMYFUNCTION("""COMPUTED_VALUE"""),"Cob.-Sala de Duto - CM-C.16")</f>
        <v>Cob.-Sala de Duto - CM-C.16</v>
      </c>
      <c r="B353" s="108" t="str">
        <f>IFERROR(__xludf.DUMMYFUNCTION("""COMPUTED_VALUE"""),"Cob.")</f>
        <v>Cob.</v>
      </c>
      <c r="C353" s="108" t="str">
        <f>IFERROR(__xludf.DUMMYFUNCTION("""COMPUTED_VALUE"""),"Sala de Duto - CM-C.16")</f>
        <v>Sala de Duto - CM-C.16</v>
      </c>
      <c r="D353" s="108" t="str">
        <f>IFERROR(__xludf.DUMMYFUNCTION("""COMPUTED_VALUE"""),"Cob.")</f>
        <v>Cob.</v>
      </c>
      <c r="E353" s="108" t="str">
        <f>IFERROR(__xludf.DUMMYFUNCTION("""COMPUTED_VALUE"""),"B")</f>
        <v>B</v>
      </c>
      <c r="F353" s="108">
        <f>IFERROR(__xludf.DUMMYFUNCTION("""COMPUTED_VALUE"""),23.0)</f>
        <v>23</v>
      </c>
      <c r="G353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66e33d030dd04cf399409c693c111674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66e33d030dd04cf399409c693c111674&amp;showComments=1&amp;guid=6882be48-6626-5238-d3df-94e9f0a0019d</v>
      </c>
      <c r="H353" s="108" t="str">
        <f>IFERROR(__xludf.DUMMYFUNCTION("""COMPUTED_VALUE"""),"Sala Máquina")</f>
        <v>Sala Máquina</v>
      </c>
      <c r="I353" s="108"/>
      <c r="J353" s="108"/>
    </row>
    <row r="354">
      <c r="A354" s="109" t="str">
        <f>IFERROR(__xludf.DUMMYFUNCTION("""COMPUTED_VALUE"""),"Cob.-Sala de Exaustão - CM-C.12")</f>
        <v>Cob.-Sala de Exaustão - CM-C.12</v>
      </c>
      <c r="B354" s="108" t="str">
        <f>IFERROR(__xludf.DUMMYFUNCTION("""COMPUTED_VALUE"""),"Cob.")</f>
        <v>Cob.</v>
      </c>
      <c r="C354" s="108" t="str">
        <f>IFERROR(__xludf.DUMMYFUNCTION("""COMPUTED_VALUE"""),"Sala de Exaustão - CM-C.12")</f>
        <v>Sala de Exaustão - CM-C.12</v>
      </c>
      <c r="D354" s="108" t="str">
        <f>IFERROR(__xludf.DUMMYFUNCTION("""COMPUTED_VALUE"""),"Cob.")</f>
        <v>Cob.</v>
      </c>
      <c r="E354" s="108" t="str">
        <f>IFERROR(__xludf.DUMMYFUNCTION("""COMPUTED_VALUE"""),"B")</f>
        <v>B</v>
      </c>
      <c r="F354" s="108">
        <f>IFERROR(__xludf.DUMMYFUNCTION("""COMPUTED_VALUE"""),18.0)</f>
        <v>18</v>
      </c>
      <c r="G354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eb50260438444a3b927a6f5f4e6deef6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eb50260438444a3b927a6f5f4e6deef6&amp;showComments=1&amp;guid=6882be48-6626-5238-d3df-94e9f0a0019d</v>
      </c>
      <c r="H354" s="108" t="str">
        <f>IFERROR(__xludf.DUMMYFUNCTION("""COMPUTED_VALUE"""),"Sala Máquina")</f>
        <v>Sala Máquina</v>
      </c>
      <c r="I354" s="109" t="str">
        <f>IFERROR(__xludf.DUMMYFUNCTION("""COMPUTED_VALUE"""),"https://photos.google.com/search/Cob.-Sala%20de%20Exaust%C3%A3o%20-%20CM-C.12")</f>
        <v>https://photos.google.com/search/Cob.-Sala%20de%20Exaust%C3%A3o%20-%20CM-C.12</v>
      </c>
      <c r="J354" s="108"/>
    </row>
    <row r="355">
      <c r="A355" s="109" t="str">
        <f>IFERROR(__xludf.DUMMYFUNCTION("""COMPUTED_VALUE"""),"Cob.-Sala de Exaustão - CM-C.17")</f>
        <v>Cob.-Sala de Exaustão - CM-C.17</v>
      </c>
      <c r="B355" s="108" t="str">
        <f>IFERROR(__xludf.DUMMYFUNCTION("""COMPUTED_VALUE"""),"Cob.")</f>
        <v>Cob.</v>
      </c>
      <c r="C355" s="108" t="str">
        <f>IFERROR(__xludf.DUMMYFUNCTION("""COMPUTED_VALUE"""),"Sala de Exaustão - CM-C.17")</f>
        <v>Sala de Exaustão - CM-C.17</v>
      </c>
      <c r="D355" s="108" t="str">
        <f>IFERROR(__xludf.DUMMYFUNCTION("""COMPUTED_VALUE"""),"Cob.")</f>
        <v>Cob.</v>
      </c>
      <c r="E355" s="108" t="str">
        <f>IFERROR(__xludf.DUMMYFUNCTION("""COMPUTED_VALUE"""),"B")</f>
        <v>B</v>
      </c>
      <c r="F355" s="108">
        <f>IFERROR(__xludf.DUMMYFUNCTION("""COMPUTED_VALUE"""),24.0)</f>
        <v>24</v>
      </c>
      <c r="G355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fca85d61fef347949f3af943653927b4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fca85d61fef347949f3af943653927b4&amp;showComments=1&amp;guid=6882be48-6626-5238-d3df-94e9f0a0019d</v>
      </c>
      <c r="H355" s="108" t="str">
        <f>IFERROR(__xludf.DUMMYFUNCTION("""COMPUTED_VALUE"""),"Sala Máquina")</f>
        <v>Sala Máquina</v>
      </c>
      <c r="I355" s="109" t="str">
        <f>IFERROR(__xludf.DUMMYFUNCTION("""COMPUTED_VALUE"""),"https://photos.google.com/search/Cob.-Sala%20de%20Exaust%C3%A3o%20-%20CM-C.17")</f>
        <v>https://photos.google.com/search/Cob.-Sala%20de%20Exaust%C3%A3o%20-%20CM-C.17</v>
      </c>
      <c r="J355" s="108"/>
    </row>
    <row r="356">
      <c r="A356" s="109" t="str">
        <f>IFERROR(__xludf.DUMMYFUNCTION("""COMPUTED_VALUE"""),"Cob.-Sala de Exaustão - CM-C.20")</f>
        <v>Cob.-Sala de Exaustão - CM-C.20</v>
      </c>
      <c r="B356" s="108" t="str">
        <f>IFERROR(__xludf.DUMMYFUNCTION("""COMPUTED_VALUE"""),"Cob.")</f>
        <v>Cob.</v>
      </c>
      <c r="C356" s="108" t="str">
        <f>IFERROR(__xludf.DUMMYFUNCTION("""COMPUTED_VALUE"""),"Sala de Exaustão - CM-C.20")</f>
        <v>Sala de Exaustão - CM-C.20</v>
      </c>
      <c r="D356" s="108" t="str">
        <f>IFERROR(__xludf.DUMMYFUNCTION("""COMPUTED_VALUE"""),"Cob.")</f>
        <v>Cob.</v>
      </c>
      <c r="E356" s="108" t="str">
        <f>IFERROR(__xludf.DUMMYFUNCTION("""COMPUTED_VALUE"""),"B")</f>
        <v>B</v>
      </c>
      <c r="F356" s="108">
        <f>IFERROR(__xludf.DUMMYFUNCTION("""COMPUTED_VALUE"""),27.0)</f>
        <v>27</v>
      </c>
      <c r="G356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3af7f8aff31349d1b18fead0856e5906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3af7f8aff31349d1b18fead0856e5906&amp;showComments=1&amp;guid=6882be48-6626-5238-d3df-94e9f0a0019d</v>
      </c>
      <c r="H356" s="108" t="str">
        <f>IFERROR(__xludf.DUMMYFUNCTION("""COMPUTED_VALUE"""),"Sala Máquina")</f>
        <v>Sala Máquina</v>
      </c>
      <c r="I356" s="109" t="str">
        <f>IFERROR(__xludf.DUMMYFUNCTION("""COMPUTED_VALUE"""),"https://photos.google.com/search/Cob.-Sala%20de%20Exaust%C3%A3o%20-%20CM-C.20")</f>
        <v>https://photos.google.com/search/Cob.-Sala%20de%20Exaust%C3%A3o%20-%20CM-C.20</v>
      </c>
      <c r="J356" s="108"/>
    </row>
    <row r="357">
      <c r="A357" s="109" t="str">
        <f>IFERROR(__xludf.DUMMYFUNCTION("""COMPUTED_VALUE"""),"Cob.-Sala de Exaustão - CM-C.3")</f>
        <v>Cob.-Sala de Exaustão - CM-C.3</v>
      </c>
      <c r="B357" s="108" t="str">
        <f>IFERROR(__xludf.DUMMYFUNCTION("""COMPUTED_VALUE"""),"Cob.")</f>
        <v>Cob.</v>
      </c>
      <c r="C357" s="108" t="str">
        <f>IFERROR(__xludf.DUMMYFUNCTION("""COMPUTED_VALUE"""),"Sala de Exaustão - CM-C.3")</f>
        <v>Sala de Exaustão - CM-C.3</v>
      </c>
      <c r="D357" s="108" t="str">
        <f>IFERROR(__xludf.DUMMYFUNCTION("""COMPUTED_VALUE"""),"Cob.")</f>
        <v>Cob.</v>
      </c>
      <c r="E357" s="108" t="str">
        <f>IFERROR(__xludf.DUMMYFUNCTION("""COMPUTED_VALUE"""),"A")</f>
        <v>A</v>
      </c>
      <c r="F357" s="108">
        <f>IFERROR(__xludf.DUMMYFUNCTION("""COMPUTED_VALUE"""),9.0)</f>
        <v>9</v>
      </c>
      <c r="G357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9512ef7ac1a744bb9b8e01a6fea6d6b7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9512ef7ac1a744bb9b8e01a6fea6d6b7&amp;showComments=1&amp;guid=6882be48-6626-5238-d3df-94e9f0a0019d</v>
      </c>
      <c r="H357" s="108" t="str">
        <f>IFERROR(__xludf.DUMMYFUNCTION("""COMPUTED_VALUE"""),"Sala Máquina")</f>
        <v>Sala Máquina</v>
      </c>
      <c r="I357" s="109" t="str">
        <f>IFERROR(__xludf.DUMMYFUNCTION("""COMPUTED_VALUE"""),"https://photos.google.com/search/Cob.-Sala%20de%20Exaust%C3%A3o%20-%20CM-C.3")</f>
        <v>https://photos.google.com/search/Cob.-Sala%20de%20Exaust%C3%A3o%20-%20CM-C.3</v>
      </c>
      <c r="J357" s="108"/>
    </row>
    <row r="358">
      <c r="A358" s="109" t="str">
        <f>IFERROR(__xludf.DUMMYFUNCTION("""COMPUTED_VALUE"""),"Cob.-Sala de Exaustão - CM-C.4")</f>
        <v>Cob.-Sala de Exaustão - CM-C.4</v>
      </c>
      <c r="B358" s="108" t="str">
        <f>IFERROR(__xludf.DUMMYFUNCTION("""COMPUTED_VALUE"""),"Cob.")</f>
        <v>Cob.</v>
      </c>
      <c r="C358" s="108" t="str">
        <f>IFERROR(__xludf.DUMMYFUNCTION("""COMPUTED_VALUE"""),"Sala de Exaustão - CM-C.4")</f>
        <v>Sala de Exaustão - CM-C.4</v>
      </c>
      <c r="D358" s="108" t="str">
        <f>IFERROR(__xludf.DUMMYFUNCTION("""COMPUTED_VALUE"""),"Cob.")</f>
        <v>Cob.</v>
      </c>
      <c r="E358" s="108" t="str">
        <f>IFERROR(__xludf.DUMMYFUNCTION("""COMPUTED_VALUE"""),"A")</f>
        <v>A</v>
      </c>
      <c r="F358" s="108">
        <f>IFERROR(__xludf.DUMMYFUNCTION("""COMPUTED_VALUE"""),10.0)</f>
        <v>10</v>
      </c>
      <c r="G358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4a08ba87ef0842e497fb52e095a9c95b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4a08ba87ef0842e497fb52e095a9c95b&amp;showComments=1&amp;guid=6882be48-6626-5238-d3df-94e9f0a0019d</v>
      </c>
      <c r="H358" s="108" t="str">
        <f>IFERROR(__xludf.DUMMYFUNCTION("""COMPUTED_VALUE"""),"Sala Máquina")</f>
        <v>Sala Máquina</v>
      </c>
      <c r="I358" s="109" t="str">
        <f>IFERROR(__xludf.DUMMYFUNCTION("""COMPUTED_VALUE"""),"https://photos.google.com/search/Cob.-Sala%20de%20Exaust%C3%A3o%20-%20CM-C.4")</f>
        <v>https://photos.google.com/search/Cob.-Sala%20de%20Exaust%C3%A3o%20-%20CM-C.4</v>
      </c>
      <c r="J358" s="108"/>
    </row>
    <row r="359">
      <c r="A359" s="109" t="str">
        <f>IFERROR(__xludf.DUMMYFUNCTION("""COMPUTED_VALUE"""),"Cob.-Sala de Exaustão - CM-C.8")</f>
        <v>Cob.-Sala de Exaustão - CM-C.8</v>
      </c>
      <c r="B359" s="108" t="str">
        <f>IFERROR(__xludf.DUMMYFUNCTION("""COMPUTED_VALUE"""),"Cob.")</f>
        <v>Cob.</v>
      </c>
      <c r="C359" s="108" t="str">
        <f>IFERROR(__xludf.DUMMYFUNCTION("""COMPUTED_VALUE"""),"Sala de Exaustão - CM-C.8")</f>
        <v>Sala de Exaustão - CM-C.8</v>
      </c>
      <c r="D359" s="108" t="str">
        <f>IFERROR(__xludf.DUMMYFUNCTION("""COMPUTED_VALUE"""),"Cob.")</f>
        <v>Cob.</v>
      </c>
      <c r="E359" s="108" t="str">
        <f>IFERROR(__xludf.DUMMYFUNCTION("""COMPUTED_VALUE"""),"A")</f>
        <v>A</v>
      </c>
      <c r="F359" s="108">
        <f>IFERROR(__xludf.DUMMYFUNCTION("""COMPUTED_VALUE"""),14.0)</f>
        <v>14</v>
      </c>
      <c r="G359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2bb223adfbc14756ac536afba61394b4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2bb223adfbc14756ac536afba61394b4&amp;showComments=1&amp;guid=6882be48-6626-5238-d3df-94e9f0a0019d</v>
      </c>
      <c r="H359" s="108" t="str">
        <f>IFERROR(__xludf.DUMMYFUNCTION("""COMPUTED_VALUE"""),"Sala Máquina")</f>
        <v>Sala Máquina</v>
      </c>
      <c r="I359" s="109" t="str">
        <f>IFERROR(__xludf.DUMMYFUNCTION("""COMPUTED_VALUE"""),"https://photos.google.com/search/Cob.-Sala%20de%20Exaust%C3%A3o%20-%20CM-C.8")</f>
        <v>https://photos.google.com/search/Cob.-Sala%20de%20Exaust%C3%A3o%20-%20CM-C.8</v>
      </c>
      <c r="J359" s="108"/>
    </row>
    <row r="360">
      <c r="A360" s="109" t="str">
        <f>IFERROR(__xludf.DUMMYFUNCTION("""COMPUTED_VALUE"""),"Cob.-Sala de Exaustão - CM-C.9")</f>
        <v>Cob.-Sala de Exaustão - CM-C.9</v>
      </c>
      <c r="B360" s="108" t="str">
        <f>IFERROR(__xludf.DUMMYFUNCTION("""COMPUTED_VALUE"""),"Cob.")</f>
        <v>Cob.</v>
      </c>
      <c r="C360" s="108" t="str">
        <f>IFERROR(__xludf.DUMMYFUNCTION("""COMPUTED_VALUE"""),"Sala de Exaustão - CM-C.9")</f>
        <v>Sala de Exaustão - CM-C.9</v>
      </c>
      <c r="D360" s="108" t="str">
        <f>IFERROR(__xludf.DUMMYFUNCTION("""COMPUTED_VALUE"""),"Cob.")</f>
        <v>Cob.</v>
      </c>
      <c r="E360" s="108" t="str">
        <f>IFERROR(__xludf.DUMMYFUNCTION("""COMPUTED_VALUE"""),"B")</f>
        <v>B</v>
      </c>
      <c r="F360" s="108">
        <f>IFERROR(__xludf.DUMMYFUNCTION("""COMPUTED_VALUE"""),15.0)</f>
        <v>15</v>
      </c>
      <c r="G360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21958ce5148745098284d40cf38fda26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21958ce5148745098284d40cf38fda26&amp;showComments=1&amp;guid=6882be48-6626-5238-d3df-94e9f0a0019d</v>
      </c>
      <c r="H360" s="108" t="str">
        <f>IFERROR(__xludf.DUMMYFUNCTION("""COMPUTED_VALUE"""),"Sala Máquina")</f>
        <v>Sala Máquina</v>
      </c>
      <c r="I360" s="109" t="str">
        <f>IFERROR(__xludf.DUMMYFUNCTION("""COMPUTED_VALUE"""),"https://photos.google.com/search/Cob.-Sala%20de%20Exaust%C3%A3o%20-%20CM-C.9")</f>
        <v>https://photos.google.com/search/Cob.-Sala%20de%20Exaust%C3%A3o%20-%20CM-C.9</v>
      </c>
      <c r="J360" s="108"/>
    </row>
    <row r="361">
      <c r="A361" s="109" t="str">
        <f>IFERROR(__xludf.DUMMYFUNCTION("""COMPUTED_VALUE"""),"Cob.-Sala Elétrica QDGC")</f>
        <v>Cob.-Sala Elétrica QDGC</v>
      </c>
      <c r="B361" s="108" t="str">
        <f>IFERROR(__xludf.DUMMYFUNCTION("""COMPUTED_VALUE"""),"Cob.")</f>
        <v>Cob.</v>
      </c>
      <c r="C361" s="108" t="str">
        <f>IFERROR(__xludf.DUMMYFUNCTION("""COMPUTED_VALUE"""),"Sala Elétrica QDGC")</f>
        <v>Sala Elétrica QDGC</v>
      </c>
      <c r="D361" s="108" t="str">
        <f>IFERROR(__xludf.DUMMYFUNCTION("""COMPUTED_VALUE"""),"Cob.")</f>
        <v>Cob.</v>
      </c>
      <c r="E361" s="108" t="str">
        <f>IFERROR(__xludf.DUMMYFUNCTION("""COMPUTED_VALUE"""),"B")</f>
        <v>B</v>
      </c>
      <c r="F361" s="108">
        <f>IFERROR(__xludf.DUMMYFUNCTION("""COMPUTED_VALUE"""),28.0)</f>
        <v>28</v>
      </c>
      <c r="G361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82d74534a7e24f1cb001659ee27c7007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82d74534a7e24f1cb001659ee27c7007&amp;showComments=1&amp;guid=6882be48-6626-5238-d3df-94e9f0a0019d</v>
      </c>
      <c r="H361" s="108" t="str">
        <f>IFERROR(__xludf.DUMMYFUNCTION("""COMPUTED_VALUE"""),"Sala Elétrica")</f>
        <v>Sala Elétrica</v>
      </c>
      <c r="I361" s="109" t="str">
        <f>IFERROR(__xludf.DUMMYFUNCTION("""COMPUTED_VALUE"""),"https://photos.google.com/search/Cob.-Sala%20El%C3%A9trica%20QDGC")</f>
        <v>https://photos.google.com/search/Cob.-Sala%20El%C3%A9trica%20QDGC</v>
      </c>
      <c r="J361" s="108"/>
    </row>
    <row r="362">
      <c r="A362" s="109" t="str">
        <f>IFERROR(__xludf.DUMMYFUNCTION("""COMPUTED_VALUE"""),"Cob.-Sala Elétrica QGBT.SE2")</f>
        <v>Cob.-Sala Elétrica QGBT.SE2</v>
      </c>
      <c r="B362" s="108" t="str">
        <f>IFERROR(__xludf.DUMMYFUNCTION("""COMPUTED_VALUE"""),"Cob.")</f>
        <v>Cob.</v>
      </c>
      <c r="C362" s="108" t="str">
        <f>IFERROR(__xludf.DUMMYFUNCTION("""COMPUTED_VALUE"""),"Sala Elétrica QGBT.SE2")</f>
        <v>Sala Elétrica QGBT.SE2</v>
      </c>
      <c r="D362" s="108" t="str">
        <f>IFERROR(__xludf.DUMMYFUNCTION("""COMPUTED_VALUE"""),"Cob.")</f>
        <v>Cob.</v>
      </c>
      <c r="E362" s="108" t="str">
        <f>IFERROR(__xludf.DUMMYFUNCTION("""COMPUTED_VALUE"""),"B")</f>
        <v>B</v>
      </c>
      <c r="F362" s="108">
        <f>IFERROR(__xludf.DUMMYFUNCTION("""COMPUTED_VALUE"""),29.0)</f>
        <v>29</v>
      </c>
      <c r="G362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1ab41e6d775744bc8c1dd394a222f87c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1ab41e6d775744bc8c1dd394a222f87c&amp;showComments=1&amp;guid=6882be48-6626-5238-d3df-94e9f0a0019d</v>
      </c>
      <c r="H362" s="108" t="str">
        <f>IFERROR(__xludf.DUMMYFUNCTION("""COMPUTED_VALUE"""),"Sala Elétrica")</f>
        <v>Sala Elétrica</v>
      </c>
      <c r="I362" s="109" t="str">
        <f>IFERROR(__xludf.DUMMYFUNCTION("""COMPUTED_VALUE"""),"https://photos.google.com/search/Sala%20El%C3%A9trica%20QGBT.SE2")</f>
        <v>https://photos.google.com/search/Sala%20El%C3%A9trica%20QGBT.SE2</v>
      </c>
      <c r="J362" s="108"/>
    </row>
    <row r="363">
      <c r="A363" s="109" t="str">
        <f>IFERROR(__xludf.DUMMYFUNCTION("""COMPUTED_VALUE"""),"Cob.-Subestação 2")</f>
        <v>Cob.-Subestação 2</v>
      </c>
      <c r="B363" s="108" t="str">
        <f>IFERROR(__xludf.DUMMYFUNCTION("""COMPUTED_VALUE"""),"Cob.")</f>
        <v>Cob.</v>
      </c>
      <c r="C363" s="108" t="str">
        <f>IFERROR(__xludf.DUMMYFUNCTION("""COMPUTED_VALUE"""),"Subestação 2")</f>
        <v>Subestação 2</v>
      </c>
      <c r="D363" s="108" t="str">
        <f>IFERROR(__xludf.DUMMYFUNCTION("""COMPUTED_VALUE"""),"Cob.")</f>
        <v>Cob.</v>
      </c>
      <c r="E363" s="108" t="str">
        <f>IFERROR(__xludf.DUMMYFUNCTION("""COMPUTED_VALUE"""),"B")</f>
        <v>B</v>
      </c>
      <c r="F363" s="108">
        <f>IFERROR(__xludf.DUMMYFUNCTION("""COMPUTED_VALUE"""),30.0)</f>
        <v>30</v>
      </c>
      <c r="G363" s="109" t="str">
        <f>IFERROR(__xludf.DUMMYFUNCTION("""COMPUTED_VALUE"""),"https://myhub.autodesk360.com/ue29d95bb/g/projects/20210514412106331/data/dXJuOmFkc2sud2lwcHJvZDpmcy5mb2xkZXI6Y28ucU04eGNtQzdReXliS0NURmJQYUFTQQ/dXJuOmFkc2sud2lwcHJvZDpkbS5saW5lYWdlOmNGNGdObGlMUmh1bHhPbkt6VkJhdXc/viewer?version=1&amp;commentId=urn:adsk.commen"&amp;"ts:social.comment:e0e1bde3ec98471bae9662ec88b69881&amp;showComments=1&amp;guid=6882be48-6626-5238-d3df-94e9f0a0019d")</f>
        <v>https://myhub.autodesk360.com/ue29d95bb/g/projects/20210514412106331/data/dXJuOmFkc2sud2lwcHJvZDpmcy5mb2xkZXI6Y28ucU04eGNtQzdReXliS0NURmJQYUFTQQ/dXJuOmFkc2sud2lwcHJvZDpkbS5saW5lYWdlOmNGNGdObGlMUmh1bHhPbkt6VkJhdXc/viewer?version=1&amp;commentId=urn:adsk.comments:social.comment:e0e1bde3ec98471bae9662ec88b69881&amp;showComments=1&amp;guid=6882be48-6626-5238-d3df-94e9f0a0019d</v>
      </c>
      <c r="H363" s="108" t="str">
        <f>IFERROR(__xludf.DUMMYFUNCTION("""COMPUTED_VALUE"""),"Sala Elétrica")</f>
        <v>Sala Elétrica</v>
      </c>
      <c r="I363" s="109" t="str">
        <f>IFERROR(__xludf.DUMMYFUNCTION("""COMPUTED_VALUE"""),"https://photos.google.com/search/Cob.-Subesta%C3%A7%C3%A3o%202")</f>
        <v>https://photos.google.com/search/Cob.-Subesta%C3%A7%C3%A3o%202</v>
      </c>
      <c r="J363" s="108"/>
    </row>
    <row r="364">
      <c r="A364" s="109" t="str">
        <f>IFERROR(__xludf.DUMMYFUNCTION("""COMPUTED_VALUE"""),"ME")</f>
        <v>ME</v>
      </c>
      <c r="B364" s="108" t="str">
        <f>IFERROR(__xludf.DUMMYFUNCTION("""COMPUTED_VALUE"""),"Meza")</f>
        <v>Meza</v>
      </c>
      <c r="C364" s="108" t="str">
        <f>IFERROR(__xludf.DUMMYFUNCTION("""COMPUTED_VALUE"""),"ME")</f>
        <v>ME</v>
      </c>
      <c r="D364" s="108"/>
      <c r="E364" s="108"/>
      <c r="F364" s="108">
        <f>IFERROR(__xludf.DUMMYFUNCTION("""COMPUTED_VALUE"""),20.0)</f>
        <v>20</v>
      </c>
      <c r="G364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29a2cb9bbeaa410fb1e4594655226589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29a2cb9bbeaa410fb1e4594655226589&amp;showComments=1&amp;guid=6882be48-6626-5238-d3df-94e9f0a0019d</v>
      </c>
      <c r="H364" s="108" t="str">
        <f>IFERROR(__xludf.DUMMYFUNCTION("""COMPUTED_VALUE"""),"Geral")</f>
        <v>Geral</v>
      </c>
      <c r="I364" s="109" t="str">
        <f>IFERROR(__xludf.DUMMYFUNCTION("""COMPUTED_VALUE"""),"https://photos.google.com/share/AF1QipPPRTnsWZVxW8rBHBDmJlcTpaenKc2tCHCmgWIsWlKwNCnsxc0hAtkIG8TML23cTA?key=WWs0M3JDOFR1N0ktUVRISGYyVmplanMwaDRETzZ3")</f>
        <v>https://photos.google.com/share/AF1QipPPRTnsWZVxW8rBHBDmJlcTpaenKc2tCHCmgWIsWlKwNCnsxc0hAtkIG8TML23cTA?key=WWs0M3JDOFR1N0ktUVRISGYyVmplanMwaDRETzZ3</v>
      </c>
      <c r="J364" s="108"/>
    </row>
    <row r="365">
      <c r="A365" s="109" t="str">
        <f>IFERROR(__xludf.DUMMYFUNCTION("""COMPUTED_VALUE"""),"ME-Antecâmara Setor A")</f>
        <v>ME-Antecâmara Setor A</v>
      </c>
      <c r="B365" s="108" t="str">
        <f>IFERROR(__xludf.DUMMYFUNCTION("""COMPUTED_VALUE"""),"Meza")</f>
        <v>Meza</v>
      </c>
      <c r="C365" s="108" t="str">
        <f>IFERROR(__xludf.DUMMYFUNCTION("""COMPUTED_VALUE"""),"Antecâmara Setor A")</f>
        <v>Antecâmara Setor A</v>
      </c>
      <c r="D365" s="108" t="str">
        <f>IFERROR(__xludf.DUMMYFUNCTION("""COMPUTED_VALUE"""),"ME")</f>
        <v>ME</v>
      </c>
      <c r="E365" s="108" t="str">
        <f>IFERROR(__xludf.DUMMYFUNCTION("""COMPUTED_VALUE"""),"A")</f>
        <v>A</v>
      </c>
      <c r="F365" s="108">
        <f>IFERROR(__xludf.DUMMYFUNCTION("""COMPUTED_VALUE"""),26.0)</f>
        <v>26</v>
      </c>
      <c r="G365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</v>
      </c>
      <c r="H365" s="108" t="str">
        <f>IFERROR(__xludf.DUMMYFUNCTION("""COMPUTED_VALUE"""),"Circulação / Corredores")</f>
        <v>Circulação / Corredores</v>
      </c>
      <c r="I365" s="109" t="str">
        <f>IFERROR(__xludf.DUMMYFUNCTION("""COMPUTED_VALUE"""),"https://photos.google.com/search/ME-Antec%C3%A2mara%20Setor%20A")</f>
        <v>https://photos.google.com/search/ME-Antec%C3%A2mara%20Setor%20A</v>
      </c>
      <c r="J365" s="108"/>
    </row>
    <row r="366">
      <c r="A366" s="109" t="str">
        <f>IFERROR(__xludf.DUMMYFUNCTION("""COMPUTED_VALUE"""),"ME-Antecâmara Setor B")</f>
        <v>ME-Antecâmara Setor B</v>
      </c>
      <c r="B366" s="108" t="str">
        <f>IFERROR(__xludf.DUMMYFUNCTION("""COMPUTED_VALUE"""),"Meza")</f>
        <v>Meza</v>
      </c>
      <c r="C366" s="108" t="str">
        <f>IFERROR(__xludf.DUMMYFUNCTION("""COMPUTED_VALUE"""),"Antecâmara Setor B")</f>
        <v>Antecâmara Setor B</v>
      </c>
      <c r="D366" s="108" t="str">
        <f>IFERROR(__xludf.DUMMYFUNCTION("""COMPUTED_VALUE"""),"ME")</f>
        <v>ME</v>
      </c>
      <c r="E366" s="108" t="str">
        <f>IFERROR(__xludf.DUMMYFUNCTION("""COMPUTED_VALUE"""),"B")</f>
        <v>B</v>
      </c>
      <c r="F366" s="108">
        <f>IFERROR(__xludf.DUMMYFUNCTION("""COMPUTED_VALUE"""),27.0)</f>
        <v>27</v>
      </c>
      <c r="G366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fa6ce082b2464c1ea2b09013c1993a66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fa6ce082b2464c1ea2b09013c1993a66&amp;showComments=1&amp;guid=6882be48-6626-5238-d3df-94e9f0a0019d</v>
      </c>
      <c r="H366" s="108" t="str">
        <f>IFERROR(__xludf.DUMMYFUNCTION("""COMPUTED_VALUE"""),"Circulação / Corredores")</f>
        <v>Circulação / Corredores</v>
      </c>
      <c r="I366" s="109" t="str">
        <f>IFERROR(__xludf.DUMMYFUNCTION("""COMPUTED_VALUE"""),"https://photos.google.com/search/ME-Antec%C3%A2mara%20Setor%20B")</f>
        <v>https://photos.google.com/search/ME-Antec%C3%A2mara%20Setor%20B</v>
      </c>
      <c r="J366" s="108"/>
    </row>
    <row r="367">
      <c r="A367" s="109" t="str">
        <f>IFERROR(__xludf.DUMMYFUNCTION("""COMPUTED_VALUE"""),"ME-Área Computadores")</f>
        <v>ME-Área Computadores</v>
      </c>
      <c r="B367" s="108" t="str">
        <f>IFERROR(__xludf.DUMMYFUNCTION("""COMPUTED_VALUE"""),"Meza")</f>
        <v>Meza</v>
      </c>
      <c r="C367" s="108" t="str">
        <f>IFERROR(__xludf.DUMMYFUNCTION("""COMPUTED_VALUE"""),"Área Computadores")</f>
        <v>Área Computadores</v>
      </c>
      <c r="D367" s="108" t="str">
        <f>IFERROR(__xludf.DUMMYFUNCTION("""COMPUTED_VALUE"""),"ME")</f>
        <v>ME</v>
      </c>
      <c r="E367" s="108" t="str">
        <f>IFERROR(__xludf.DUMMYFUNCTION("""COMPUTED_VALUE"""),"A")</f>
        <v>A</v>
      </c>
      <c r="F367" s="108">
        <f>IFERROR(__xludf.DUMMYFUNCTION("""COMPUTED_VALUE"""),18.0)</f>
        <v>18</v>
      </c>
      <c r="G367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c0dee296eaa6445da193647b49acb08f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c0dee296eaa6445da193647b49acb08f&amp;showComments=1&amp;guid=6882be48-6626-5238-d3df-94e9f0a0019d</v>
      </c>
      <c r="H367" s="108" t="str">
        <f>IFERROR(__xludf.DUMMYFUNCTION("""COMPUTED_VALUE"""),"Outros")</f>
        <v>Outros</v>
      </c>
      <c r="I367" s="108"/>
      <c r="J367" s="108"/>
    </row>
    <row r="368">
      <c r="A368" s="109" t="str">
        <f>IFERROR(__xludf.DUMMYFUNCTION("""COMPUTED_VALUE"""),"ME-Biblioteca")</f>
        <v>ME-Biblioteca</v>
      </c>
      <c r="B368" s="108" t="str">
        <f>IFERROR(__xludf.DUMMYFUNCTION("""COMPUTED_VALUE"""),"Meza")</f>
        <v>Meza</v>
      </c>
      <c r="C368" s="108" t="str">
        <f>IFERROR(__xludf.DUMMYFUNCTION("""COMPUTED_VALUE"""),"Biblioteca")</f>
        <v>Biblioteca</v>
      </c>
      <c r="D368" s="108" t="str">
        <f>IFERROR(__xludf.DUMMYFUNCTION("""COMPUTED_VALUE"""),"ME")</f>
        <v>ME</v>
      </c>
      <c r="E368" s="108" t="str">
        <f>IFERROR(__xludf.DUMMYFUNCTION("""COMPUTED_VALUE"""),"A")</f>
        <v>A</v>
      </c>
      <c r="F368" s="108">
        <f>IFERROR(__xludf.DUMMYFUNCTION("""COMPUTED_VALUE"""),15.0)</f>
        <v>15</v>
      </c>
      <c r="G368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969ac0e85ffd49aa93eed257702f9e09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969ac0e85ffd49aa93eed257702f9e09&amp;showComments=1&amp;guid=6882be48-6626-5238-d3df-94e9f0a0019d</v>
      </c>
      <c r="H368" s="108" t="str">
        <f>IFERROR(__xludf.DUMMYFUNCTION("""COMPUTED_VALUE"""),"Outros")</f>
        <v>Outros</v>
      </c>
      <c r="I368" s="108"/>
      <c r="J368" s="108"/>
    </row>
    <row r="369">
      <c r="A369" s="109" t="str">
        <f>IFERROR(__xludf.DUMMYFUNCTION("""COMPUTED_VALUE"""),"ME-Circulação / Estar Salão de Beleza")</f>
        <v>ME-Circulação / Estar Salão de Beleza</v>
      </c>
      <c r="B369" s="108" t="str">
        <f>IFERROR(__xludf.DUMMYFUNCTION("""COMPUTED_VALUE"""),"Meza")</f>
        <v>Meza</v>
      </c>
      <c r="C369" s="108" t="str">
        <f>IFERROR(__xludf.DUMMYFUNCTION("""COMPUTED_VALUE"""),"Circulação / Estar Salão de Beleza")</f>
        <v>Circulação / Estar Salão de Beleza</v>
      </c>
      <c r="D369" s="108" t="str">
        <f>IFERROR(__xludf.DUMMYFUNCTION("""COMPUTED_VALUE"""),"ME")</f>
        <v>ME</v>
      </c>
      <c r="E369" s="108" t="str">
        <f>IFERROR(__xludf.DUMMYFUNCTION("""COMPUTED_VALUE"""),"A")</f>
        <v>A</v>
      </c>
      <c r="F369" s="108">
        <f>IFERROR(__xludf.DUMMYFUNCTION("""COMPUTED_VALUE"""),19.0)</f>
        <v>19</v>
      </c>
      <c r="G369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7315c6893c744f60b399c52cf2db90dc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7315c6893c744f60b399c52cf2db90dc&amp;showComments=1&amp;guid=6882be48-6626-5238-d3df-94e9f0a0019d</v>
      </c>
      <c r="H369" s="108" t="str">
        <f>IFERROR(__xludf.DUMMYFUNCTION("""COMPUTED_VALUE"""),"Circulação / Corredores")</f>
        <v>Circulação / Corredores</v>
      </c>
      <c r="I369" s="108"/>
      <c r="J369" s="108"/>
    </row>
    <row r="370">
      <c r="A370" s="109" t="str">
        <f>IFERROR(__xludf.DUMMYFUNCTION("""COMPUTED_VALUE"""),"ME-Circulação Monta Cargas")</f>
        <v>ME-Circulação Monta Cargas</v>
      </c>
      <c r="B370" s="108" t="str">
        <f>IFERROR(__xludf.DUMMYFUNCTION("""COMPUTED_VALUE"""),"Meza")</f>
        <v>Meza</v>
      </c>
      <c r="C370" s="108" t="str">
        <f>IFERROR(__xludf.DUMMYFUNCTION("""COMPUTED_VALUE"""),"Circulação Monta Cargas")</f>
        <v>Circulação Monta Cargas</v>
      </c>
      <c r="D370" s="108" t="str">
        <f>IFERROR(__xludf.DUMMYFUNCTION("""COMPUTED_VALUE"""),"ME")</f>
        <v>ME</v>
      </c>
      <c r="E370" s="108" t="str">
        <f>IFERROR(__xludf.DUMMYFUNCTION("""COMPUTED_VALUE"""),"B")</f>
        <v>B</v>
      </c>
      <c r="F370" s="108">
        <f>IFERROR(__xludf.DUMMYFUNCTION("""COMPUTED_VALUE"""),50.0)</f>
        <v>50</v>
      </c>
      <c r="G370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0c3a61cfcd22404fa8b1995772e235d5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0c3a61cfcd22404fa8b1995772e235d5&amp;showComments=1&amp;guid=6882be48-6626-5238-d3df-94e9f0a0019d</v>
      </c>
      <c r="H370" s="108" t="str">
        <f>IFERROR(__xludf.DUMMYFUNCTION("""COMPUTED_VALUE"""),"Circulação / Corredores")</f>
        <v>Circulação / Corredores</v>
      </c>
      <c r="I370" s="109" t="str">
        <f>IFERROR(__xludf.DUMMYFUNCTION("""COMPUTED_VALUE"""),"https://photos.google.com/search/ME-Circula%C3%A7%C3%A3o%20Monta%20Cargas")</f>
        <v>https://photos.google.com/search/ME-Circula%C3%A7%C3%A3o%20Monta%20Cargas</v>
      </c>
      <c r="J370" s="108"/>
    </row>
    <row r="371">
      <c r="A371" s="109" t="str">
        <f>IFERROR(__xludf.DUMMYFUNCTION("""COMPUTED_VALUE"""),"ME-Circulação Salas Chefia")</f>
        <v>ME-Circulação Salas Chefia</v>
      </c>
      <c r="B371" s="108" t="str">
        <f>IFERROR(__xludf.DUMMYFUNCTION("""COMPUTED_VALUE"""),"Meza")</f>
        <v>Meza</v>
      </c>
      <c r="C371" s="108" t="str">
        <f>IFERROR(__xludf.DUMMYFUNCTION("""COMPUTED_VALUE"""),"Circulação Salas Chefia")</f>
        <v>Circulação Salas Chefia</v>
      </c>
      <c r="D371" s="108" t="str">
        <f>IFERROR(__xludf.DUMMYFUNCTION("""COMPUTED_VALUE"""),"ME")</f>
        <v>ME</v>
      </c>
      <c r="E371" s="108" t="str">
        <f>IFERROR(__xludf.DUMMYFUNCTION("""COMPUTED_VALUE"""),"A")</f>
        <v>A</v>
      </c>
      <c r="F371" s="108">
        <f>IFERROR(__xludf.DUMMYFUNCTION("""COMPUTED_VALUE"""),46.0)</f>
        <v>46</v>
      </c>
      <c r="G371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fbeb034ea2d04216b2e41f290364f098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fbeb034ea2d04216b2e41f290364f098&amp;showComments=1&amp;guid=6882be48-6626-5238-d3df-94e9f0a0019d</v>
      </c>
      <c r="H371" s="108" t="str">
        <f>IFERROR(__xludf.DUMMYFUNCTION("""COMPUTED_VALUE"""),"Circulação / Corredores")</f>
        <v>Circulação / Corredores</v>
      </c>
      <c r="I371" s="108"/>
      <c r="J371" s="108"/>
    </row>
    <row r="372">
      <c r="A372" s="109" t="str">
        <f>IFERROR(__xludf.DUMMYFUNCTION("""COMPUTED_VALUE"""),"ME-Circulação Setor A")</f>
        <v>ME-Circulação Setor A</v>
      </c>
      <c r="B372" s="108" t="str">
        <f>IFERROR(__xludf.DUMMYFUNCTION("""COMPUTED_VALUE"""),"Meza")</f>
        <v>Meza</v>
      </c>
      <c r="C372" s="108" t="str">
        <f>IFERROR(__xludf.DUMMYFUNCTION("""COMPUTED_VALUE"""),"Circulação Setor A")</f>
        <v>Circulação Setor A</v>
      </c>
      <c r="D372" s="108" t="str">
        <f>IFERROR(__xludf.DUMMYFUNCTION("""COMPUTED_VALUE"""),"ME")</f>
        <v>ME</v>
      </c>
      <c r="E372" s="108" t="str">
        <f>IFERROR(__xludf.DUMMYFUNCTION("""COMPUTED_VALUE"""),"B")</f>
        <v>B</v>
      </c>
      <c r="F372" s="108">
        <f>IFERROR(__xludf.DUMMYFUNCTION("""COMPUTED_VALUE"""),34.0)</f>
        <v>34</v>
      </c>
      <c r="G372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</v>
      </c>
      <c r="H372" s="108" t="str">
        <f>IFERROR(__xludf.DUMMYFUNCTION("""COMPUTED_VALUE"""),"Outros")</f>
        <v>Outros</v>
      </c>
      <c r="I372" s="108"/>
      <c r="J372" s="108"/>
    </row>
    <row r="373">
      <c r="A373" s="109" t="str">
        <f>IFERROR(__xludf.DUMMYFUNCTION("""COMPUTED_VALUE"""),"ME-Circulação Setor B")</f>
        <v>ME-Circulação Setor B</v>
      </c>
      <c r="B373" s="108" t="str">
        <f>IFERROR(__xludf.DUMMYFUNCTION("""COMPUTED_VALUE"""),"Meza")</f>
        <v>Meza</v>
      </c>
      <c r="C373" s="108" t="str">
        <f>IFERROR(__xludf.DUMMYFUNCTION("""COMPUTED_VALUE"""),"Circulação Setor B")</f>
        <v>Circulação Setor B</v>
      </c>
      <c r="D373" s="108" t="str">
        <f>IFERROR(__xludf.DUMMYFUNCTION("""COMPUTED_VALUE"""),"ME")</f>
        <v>ME</v>
      </c>
      <c r="E373" s="108" t="str">
        <f>IFERROR(__xludf.DUMMYFUNCTION("""COMPUTED_VALUE"""),"A")</f>
        <v>A</v>
      </c>
      <c r="F373" s="108">
        <f>IFERROR(__xludf.DUMMYFUNCTION("""COMPUTED_VALUE"""),47.0)</f>
        <v>47</v>
      </c>
      <c r="G373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3d45db648e75484b8961b2284cc36b04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3d45db648e75484b8961b2284cc36b04&amp;showComments=1&amp;guid=6882be48-6626-5238-d3df-94e9f0a0019d</v>
      </c>
      <c r="H373" s="108" t="str">
        <f>IFERROR(__xludf.DUMMYFUNCTION("""COMPUTED_VALUE"""),"Circulação / Corredores")</f>
        <v>Circulação / Corredores</v>
      </c>
      <c r="I373" s="109" t="str">
        <f>IFERROR(__xludf.DUMMYFUNCTION("""COMPUTED_VALUE"""),"https://photos.google.com/search/ME-Circula%C3%A7%C3%A3o%20Setor%20B")</f>
        <v>https://photos.google.com/search/ME-Circula%C3%A7%C3%A3o%20Setor%20B</v>
      </c>
      <c r="J373" s="108"/>
    </row>
    <row r="374">
      <c r="A374" s="109" t="str">
        <f>IFERROR(__xludf.DUMMYFUNCTION("""COMPUTED_VALUE"""),"ME-Circulação Shafts Setor A")</f>
        <v>ME-Circulação Shafts Setor A</v>
      </c>
      <c r="B374" s="108" t="str">
        <f>IFERROR(__xludf.DUMMYFUNCTION("""COMPUTED_VALUE"""),"Meza")</f>
        <v>Meza</v>
      </c>
      <c r="C374" s="108" t="str">
        <f>IFERROR(__xludf.DUMMYFUNCTION("""COMPUTED_VALUE"""),"Circulação Shafts Setor A")</f>
        <v>Circulação Shafts Setor A</v>
      </c>
      <c r="D374" s="108" t="str">
        <f>IFERROR(__xludf.DUMMYFUNCTION("""COMPUTED_VALUE"""),"ME")</f>
        <v>ME</v>
      </c>
      <c r="E374" s="108" t="str">
        <f>IFERROR(__xludf.DUMMYFUNCTION("""COMPUTED_VALUE"""),"A")</f>
        <v>A</v>
      </c>
      <c r="F374" s="108">
        <f>IFERROR(__xludf.DUMMYFUNCTION("""COMPUTED_VALUE"""),29.0)</f>
        <v>29</v>
      </c>
      <c r="G374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ec5a080d3b0e4cc39295388855c950dc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ec5a080d3b0e4cc39295388855c950dc&amp;showComments=1&amp;guid=6882be48-6626-5238-d3df-94e9f0a0019d</v>
      </c>
      <c r="H374" s="108" t="str">
        <f>IFERROR(__xludf.DUMMYFUNCTION("""COMPUTED_VALUE"""),"Circulação / Corredores")</f>
        <v>Circulação / Corredores</v>
      </c>
      <c r="I374" s="109" t="str">
        <f>IFERROR(__xludf.DUMMYFUNCTION("""COMPUTED_VALUE"""),"https://photos.google.com/search/ME-Circula%C3%A7%C3%A3o%20Shafts%20Setor%20A")</f>
        <v>https://photos.google.com/search/ME-Circula%C3%A7%C3%A3o%20Shafts%20Setor%20A</v>
      </c>
      <c r="J374" s="108"/>
    </row>
    <row r="375">
      <c r="A375" s="109" t="str">
        <f>IFERROR(__xludf.DUMMYFUNCTION("""COMPUTED_VALUE"""),"ME-Copa / Cozinha")</f>
        <v>ME-Copa / Cozinha</v>
      </c>
      <c r="B375" s="108" t="str">
        <f>IFERROR(__xludf.DUMMYFUNCTION("""COMPUTED_VALUE"""),"Meza")</f>
        <v>Meza</v>
      </c>
      <c r="C375" s="108" t="str">
        <f>IFERROR(__xludf.DUMMYFUNCTION("""COMPUTED_VALUE"""),"Copa / Cozinha")</f>
        <v>Copa / Cozinha</v>
      </c>
      <c r="D375" s="108" t="str">
        <f>IFERROR(__xludf.DUMMYFUNCTION("""COMPUTED_VALUE"""),"ME")</f>
        <v>ME</v>
      </c>
      <c r="E375" s="108" t="str">
        <f>IFERROR(__xludf.DUMMYFUNCTION("""COMPUTED_VALUE"""),"A")</f>
        <v>A</v>
      </c>
      <c r="F375" s="108">
        <f>IFERROR(__xludf.DUMMYFUNCTION("""COMPUTED_VALUE"""),17.0)</f>
        <v>17</v>
      </c>
      <c r="G375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</v>
      </c>
      <c r="H375" s="108" t="str">
        <f>IFERROR(__xludf.DUMMYFUNCTION("""COMPUTED_VALUE"""),"Copa")</f>
        <v>Copa</v>
      </c>
      <c r="I375" s="108"/>
      <c r="J375" s="108"/>
    </row>
    <row r="376">
      <c r="A376" s="109" t="str">
        <f>IFERROR(__xludf.DUMMYFUNCTION("""COMPUTED_VALUE"""),"ME-Copa Funcionários")</f>
        <v>ME-Copa Funcionários</v>
      </c>
      <c r="B376" s="108" t="str">
        <f>IFERROR(__xludf.DUMMYFUNCTION("""COMPUTED_VALUE"""),"Meza")</f>
        <v>Meza</v>
      </c>
      <c r="C376" s="108" t="str">
        <f>IFERROR(__xludf.DUMMYFUNCTION("""COMPUTED_VALUE"""),"Copa Funcionários")</f>
        <v>Copa Funcionários</v>
      </c>
      <c r="D376" s="108" t="str">
        <f>IFERROR(__xludf.DUMMYFUNCTION("""COMPUTED_VALUE"""),"ME")</f>
        <v>ME</v>
      </c>
      <c r="E376" s="108" t="str">
        <f>IFERROR(__xludf.DUMMYFUNCTION("""COMPUTED_VALUE"""),"A")</f>
        <v>A</v>
      </c>
      <c r="F376" s="108">
        <f>IFERROR(__xludf.DUMMYFUNCTION("""COMPUTED_VALUE"""),7.0)</f>
        <v>7</v>
      </c>
      <c r="G376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61663bf1553849e5a257738ccf9fa889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61663bf1553849e5a257738ccf9fa889&amp;showComments=1&amp;guid=6882be48-6626-5238-d3df-94e9f0a0019d</v>
      </c>
      <c r="H376" s="108" t="str">
        <f>IFERROR(__xludf.DUMMYFUNCTION("""COMPUTED_VALUE"""),"Copa")</f>
        <v>Copa</v>
      </c>
      <c r="I376" s="108"/>
      <c r="J376" s="108"/>
    </row>
    <row r="377">
      <c r="A377" s="109" t="str">
        <f>IFERROR(__xludf.DUMMYFUNCTION("""COMPUTED_VALUE"""),"ME-Depósito")</f>
        <v>ME-Depósito</v>
      </c>
      <c r="B377" s="108" t="str">
        <f>IFERROR(__xludf.DUMMYFUNCTION("""COMPUTED_VALUE"""),"Meza")</f>
        <v>Meza</v>
      </c>
      <c r="C377" s="108" t="str">
        <f>IFERROR(__xludf.DUMMYFUNCTION("""COMPUTED_VALUE"""),"Depósito")</f>
        <v>Depósito</v>
      </c>
      <c r="D377" s="108" t="str">
        <f>IFERROR(__xludf.DUMMYFUNCTION("""COMPUTED_VALUE"""),"ME")</f>
        <v>ME</v>
      </c>
      <c r="E377" s="108" t="str">
        <f>IFERROR(__xludf.DUMMYFUNCTION("""COMPUTED_VALUE"""),"A")</f>
        <v>A</v>
      </c>
      <c r="F377" s="108">
        <f>IFERROR(__xludf.DUMMYFUNCTION("""COMPUTED_VALUE"""),48.0)</f>
        <v>48</v>
      </c>
      <c r="G377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2ab3556f11964b569b05d0144f9b3129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2ab3556f11964b569b05d0144f9b3129&amp;showComments=1&amp;guid=6882be48-6626-5238-d3df-94e9f0a0019d</v>
      </c>
      <c r="H377" s="108" t="str">
        <f>IFERROR(__xludf.DUMMYFUNCTION("""COMPUTED_VALUE"""),"Depósito")</f>
        <v>Depósito</v>
      </c>
      <c r="I377" s="108"/>
      <c r="J377" s="108"/>
    </row>
    <row r="378">
      <c r="A378" s="109" t="str">
        <f>IFERROR(__xludf.DUMMYFUNCTION("""COMPUTED_VALUE"""),"ME-Depósito Temporário de Resíduos")</f>
        <v>ME-Depósito Temporário de Resíduos</v>
      </c>
      <c r="B378" s="108" t="str">
        <f>IFERROR(__xludf.DUMMYFUNCTION("""COMPUTED_VALUE"""),"Meza")</f>
        <v>Meza</v>
      </c>
      <c r="C378" s="108" t="str">
        <f>IFERROR(__xludf.DUMMYFUNCTION("""COMPUTED_VALUE"""),"Depósito Temporário de Resíduos")</f>
        <v>Depósito Temporário de Resíduos</v>
      </c>
      <c r="D378" s="108" t="str">
        <f>IFERROR(__xludf.DUMMYFUNCTION("""COMPUTED_VALUE"""),"ME")</f>
        <v>ME</v>
      </c>
      <c r="E378" s="108" t="str">
        <f>IFERROR(__xludf.DUMMYFUNCTION("""COMPUTED_VALUE"""),"A")</f>
        <v>A</v>
      </c>
      <c r="F378" s="108">
        <f>IFERROR(__xludf.DUMMYFUNCTION("""COMPUTED_VALUE"""),2.0)</f>
        <v>2</v>
      </c>
      <c r="G378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d69edd0c39db4e34bd997bee2f6eab84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d69edd0c39db4e34bd997bee2f6eab84&amp;showComments=1&amp;guid=6882be48-6626-5238-d3df-94e9f0a0019d</v>
      </c>
      <c r="H378" s="108" t="str">
        <f>IFERROR(__xludf.DUMMYFUNCTION("""COMPUTED_VALUE"""),"Depósito")</f>
        <v>Depósito</v>
      </c>
      <c r="I378" s="108"/>
      <c r="J378" s="108"/>
    </row>
    <row r="379">
      <c r="A379" s="109" t="str">
        <f>IFERROR(__xludf.DUMMYFUNCTION("""COMPUTED_VALUE"""),"ME-DML")</f>
        <v>ME-DML</v>
      </c>
      <c r="B379" s="108" t="str">
        <f>IFERROR(__xludf.DUMMYFUNCTION("""COMPUTED_VALUE"""),"Meza")</f>
        <v>Meza</v>
      </c>
      <c r="C379" s="108" t="str">
        <f>IFERROR(__xludf.DUMMYFUNCTION("""COMPUTED_VALUE"""),"DML")</f>
        <v>DML</v>
      </c>
      <c r="D379" s="108" t="str">
        <f>IFERROR(__xludf.DUMMYFUNCTION("""COMPUTED_VALUE"""),"ME")</f>
        <v>ME</v>
      </c>
      <c r="E379" s="108" t="str">
        <f>IFERROR(__xludf.DUMMYFUNCTION("""COMPUTED_VALUE"""),"A")</f>
        <v>A</v>
      </c>
      <c r="F379" s="108">
        <f>IFERROR(__xludf.DUMMYFUNCTION("""COMPUTED_VALUE"""),5.0)</f>
        <v>5</v>
      </c>
      <c r="G379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012937fd653f45a496447490a495064c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012937fd653f45a496447490a495064c&amp;showComments=1&amp;guid=6882be48-6626-5238-d3df-94e9f0a0019d</v>
      </c>
      <c r="H379" s="108" t="str">
        <f>IFERROR(__xludf.DUMMYFUNCTION("""COMPUTED_VALUE"""),"Depósito")</f>
        <v>Depósito</v>
      </c>
      <c r="I379" s="108"/>
      <c r="J379" s="108"/>
    </row>
    <row r="380">
      <c r="A380" s="109" t="str">
        <f>IFERROR(__xludf.DUMMYFUNCTION("""COMPUTED_VALUE"""),"ME-Escada Prova de Fogo Setor B")</f>
        <v>ME-Escada Prova de Fogo Setor B</v>
      </c>
      <c r="B380" s="108" t="str">
        <f>IFERROR(__xludf.DUMMYFUNCTION("""COMPUTED_VALUE"""),"Meza")</f>
        <v>Meza</v>
      </c>
      <c r="C380" s="108" t="str">
        <f>IFERROR(__xludf.DUMMYFUNCTION("""COMPUTED_VALUE"""),"Escada Prova de Fogo Setor B")</f>
        <v>Escada Prova de Fogo Setor B</v>
      </c>
      <c r="D380" s="108" t="str">
        <f>IFERROR(__xludf.DUMMYFUNCTION("""COMPUTED_VALUE"""),"ME")</f>
        <v>ME</v>
      </c>
      <c r="E380" s="108" t="str">
        <f>IFERROR(__xludf.DUMMYFUNCTION("""COMPUTED_VALUE"""),"B")</f>
        <v>B</v>
      </c>
      <c r="F380" s="108">
        <f>IFERROR(__xludf.DUMMYFUNCTION("""COMPUTED_VALUE"""),51.0)</f>
        <v>51</v>
      </c>
      <c r="G380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</v>
      </c>
      <c r="H380" s="108" t="str">
        <f>IFERROR(__xludf.DUMMYFUNCTION("""COMPUTED_VALUE"""),"Escadas")</f>
        <v>Escadas</v>
      </c>
      <c r="I380" s="108"/>
      <c r="J380" s="108"/>
    </row>
    <row r="381">
      <c r="A381" s="109" t="str">
        <f>IFERROR(__xludf.DUMMYFUNCTION("""COMPUTED_VALUE"""),"ME-Estar TV / Cinema / Palestra")</f>
        <v>ME-Estar TV / Cinema / Palestra</v>
      </c>
      <c r="B381" s="108" t="str">
        <f>IFERROR(__xludf.DUMMYFUNCTION("""COMPUTED_VALUE"""),"Meza")</f>
        <v>Meza</v>
      </c>
      <c r="C381" s="108" t="str">
        <f>IFERROR(__xludf.DUMMYFUNCTION("""COMPUTED_VALUE"""),"Estar TV / Cinema / Palestra")</f>
        <v>Estar TV / Cinema / Palestra</v>
      </c>
      <c r="D381" s="108" t="str">
        <f>IFERROR(__xludf.DUMMYFUNCTION("""COMPUTED_VALUE"""),"ME")</f>
        <v>ME</v>
      </c>
      <c r="E381" s="108" t="str">
        <f>IFERROR(__xludf.DUMMYFUNCTION("""COMPUTED_VALUE"""),"A")</f>
        <v>A</v>
      </c>
      <c r="F381" s="108">
        <f>IFERROR(__xludf.DUMMYFUNCTION("""COMPUTED_VALUE"""),9.0)</f>
        <v>9</v>
      </c>
      <c r="G381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c8168eec5abd4aefa9c0fc12f1029d6b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c8168eec5abd4aefa9c0fc12f1029d6b&amp;showComments=1&amp;guid=6882be48-6626-5238-d3df-94e9f0a0019d</v>
      </c>
      <c r="H381" s="108" t="str">
        <f>IFERROR(__xludf.DUMMYFUNCTION("""COMPUTED_VALUE"""),"Outros")</f>
        <v>Outros</v>
      </c>
      <c r="I381" s="108"/>
      <c r="J381" s="108"/>
    </row>
    <row r="382">
      <c r="A382" s="109" t="str">
        <f>IFERROR(__xludf.DUMMYFUNCTION("""COMPUTED_VALUE"""),"ME-Hall Elevador Público")</f>
        <v>ME-Hall Elevador Público</v>
      </c>
      <c r="B382" s="108" t="str">
        <f>IFERROR(__xludf.DUMMYFUNCTION("""COMPUTED_VALUE"""),"Meza")</f>
        <v>Meza</v>
      </c>
      <c r="C382" s="108" t="str">
        <f>IFERROR(__xludf.DUMMYFUNCTION("""COMPUTED_VALUE"""),"Hall Elevador Público")</f>
        <v>Hall Elevador Público</v>
      </c>
      <c r="D382" s="108" t="str">
        <f>IFERROR(__xludf.DUMMYFUNCTION("""COMPUTED_VALUE"""),"ME")</f>
        <v>ME</v>
      </c>
      <c r="E382" s="108" t="str">
        <f>IFERROR(__xludf.DUMMYFUNCTION("""COMPUTED_VALUE"""),"A")</f>
        <v>A</v>
      </c>
      <c r="F382" s="108">
        <f>IFERROR(__xludf.DUMMYFUNCTION("""COMPUTED_VALUE"""),28.0)</f>
        <v>28</v>
      </c>
      <c r="G382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2702baeaa41f4480b9a531fe3caeff82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2702baeaa41f4480b9a531fe3caeff82&amp;showComments=1&amp;guid=6882be48-6626-5238-d3df-94e9f0a0019d</v>
      </c>
      <c r="H382" s="108" t="str">
        <f>IFERROR(__xludf.DUMMYFUNCTION("""COMPUTED_VALUE"""),"Circulação / Corredores")</f>
        <v>Circulação / Corredores</v>
      </c>
      <c r="I382" s="108"/>
      <c r="J382" s="108"/>
    </row>
    <row r="383">
      <c r="A383" s="109" t="str">
        <f>IFERROR(__xludf.DUMMYFUNCTION("""COMPUTED_VALUE"""),"ME-Hall Elevador Serviço")</f>
        <v>ME-Hall Elevador Serviço</v>
      </c>
      <c r="B383" s="108" t="str">
        <f>IFERROR(__xludf.DUMMYFUNCTION("""COMPUTED_VALUE"""),"Meza")</f>
        <v>Meza</v>
      </c>
      <c r="C383" s="108" t="str">
        <f>IFERROR(__xludf.DUMMYFUNCTION("""COMPUTED_VALUE"""),"Hall Elevador Serviço")</f>
        <v>Hall Elevador Serviço</v>
      </c>
      <c r="D383" s="108" t="str">
        <f>IFERROR(__xludf.DUMMYFUNCTION("""COMPUTED_VALUE"""),"ME")</f>
        <v>ME</v>
      </c>
      <c r="E383" s="108" t="str">
        <f>IFERROR(__xludf.DUMMYFUNCTION("""COMPUTED_VALUE"""),"B")</f>
        <v>B</v>
      </c>
      <c r="F383" s="108">
        <f>IFERROR(__xludf.DUMMYFUNCTION("""COMPUTED_VALUE"""),1.0)</f>
        <v>1</v>
      </c>
      <c r="G383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57173a819abc4722a6e8b18affbf4fac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57173a819abc4722a6e8b18affbf4fac&amp;showComments=1&amp;guid=6882be48-6626-5238-d3df-94e9f0a0019d</v>
      </c>
      <c r="H383" s="108" t="str">
        <f>IFERROR(__xludf.DUMMYFUNCTION("""COMPUTED_VALUE"""),"Circulação / Corredores")</f>
        <v>Circulação / Corredores</v>
      </c>
      <c r="I383" s="109" t="str">
        <f>IFERROR(__xludf.DUMMYFUNCTION("""COMPUTED_VALUE"""),"https://photos.google.com/search/ME-Hall%20Elevador%20Servi%C3%A7o")</f>
        <v>https://photos.google.com/search/ME-Hall%20Elevador%20Servi%C3%A7o</v>
      </c>
      <c r="J383" s="108"/>
    </row>
    <row r="384">
      <c r="A384" s="109" t="str">
        <f>IFERROR(__xludf.DUMMYFUNCTION("""COMPUTED_VALUE"""),"ME-Hall Sanitários Publicos")</f>
        <v>ME-Hall Sanitários Publicos</v>
      </c>
      <c r="B384" s="108" t="str">
        <f>IFERROR(__xludf.DUMMYFUNCTION("""COMPUTED_VALUE"""),"Meza")</f>
        <v>Meza</v>
      </c>
      <c r="C384" s="108" t="str">
        <f>IFERROR(__xludf.DUMMYFUNCTION("""COMPUTED_VALUE"""),"Hall Sanitários Publicos")</f>
        <v>Hall Sanitários Publicos</v>
      </c>
      <c r="D384" s="108" t="str">
        <f>IFERROR(__xludf.DUMMYFUNCTION("""COMPUTED_VALUE"""),"ME")</f>
        <v>ME</v>
      </c>
      <c r="E384" s="108" t="str">
        <f>IFERROR(__xludf.DUMMYFUNCTION("""COMPUTED_VALUE"""),"A")</f>
        <v>A</v>
      </c>
      <c r="F384" s="108"/>
      <c r="G384" s="109" t="str">
        <f>IFERROR(__xludf.DUMMYFUNCTION("""COMPUTED_VALUE"""),"https://myhub.autodesk360.com/ue29d95bb/g/projects/20210514412106331/data/dXJuOmFkc2sud2lwcHJvZDpmcy5mb2xkZXI6Y28ub0w2UWRaWTlUcVNaaS1qRU0weWpSUQ/dXJuOmFkc2sud2lwcHJvZDpkbS5saW5lYWdlOndoSXRtcW9TUWd5dWhjdnlpblNUZUE/viewer?version=1&amp;showComments=1&amp;guid=6882b"&amp;"e48-6626-5238-d3df-94e9f0a0019d")</f>
        <v>https://myhub.autodesk360.com/ue29d95bb/g/projects/20210514412106331/data/dXJuOmFkc2sud2lwcHJvZDpmcy5mb2xkZXI6Y28ub0w2UWRaWTlUcVNaaS1qRU0weWpSUQ/dXJuOmFkc2sud2lwcHJvZDpkbS5saW5lYWdlOndoSXRtcW9TUWd5dWhjdnlpblNUZUE/viewer?version=1&amp;showComments=1&amp;guid=6882be48-6626-5238-d3df-94e9f0a0019d</v>
      </c>
      <c r="H384" s="108" t="str">
        <f>IFERROR(__xludf.DUMMYFUNCTION("""COMPUTED_VALUE"""),"Ambiente")</f>
        <v>Ambiente</v>
      </c>
      <c r="I384" s="108"/>
      <c r="J384" s="108"/>
    </row>
    <row r="385">
      <c r="A385" s="109" t="str">
        <f>IFERROR(__xludf.DUMMYFUNCTION("""COMPUTED_VALUE"""),"ME-Mesas para Lanches")</f>
        <v>ME-Mesas para Lanches</v>
      </c>
      <c r="B385" s="108" t="str">
        <f>IFERROR(__xludf.DUMMYFUNCTION("""COMPUTED_VALUE"""),"Meza")</f>
        <v>Meza</v>
      </c>
      <c r="C385" s="108" t="str">
        <f>IFERROR(__xludf.DUMMYFUNCTION("""COMPUTED_VALUE"""),"Mesas para Lanches")</f>
        <v>Mesas para Lanches</v>
      </c>
      <c r="D385" s="108" t="str">
        <f>IFERROR(__xludf.DUMMYFUNCTION("""COMPUTED_VALUE"""),"ME")</f>
        <v>ME</v>
      </c>
      <c r="E385" s="108" t="str">
        <f>IFERROR(__xludf.DUMMYFUNCTION("""COMPUTED_VALUE"""),"A")</f>
        <v>A</v>
      </c>
      <c r="F385" s="108">
        <f>IFERROR(__xludf.DUMMYFUNCTION("""COMPUTED_VALUE"""),10.0)</f>
        <v>10</v>
      </c>
      <c r="G385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dd33f0b38dec4385a2de65a9b637f072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dd33f0b38dec4385a2de65a9b637f072&amp;showComments=1&amp;guid=6882be48-6626-5238-d3df-94e9f0a0019d</v>
      </c>
      <c r="H385" s="108" t="str">
        <f>IFERROR(__xludf.DUMMYFUNCTION("""COMPUTED_VALUE"""),"Outros")</f>
        <v>Outros</v>
      </c>
      <c r="I385" s="108"/>
      <c r="J385" s="108"/>
    </row>
    <row r="386">
      <c r="A386" s="109" t="str">
        <f>IFERROR(__xludf.DUMMYFUNCTION("""COMPUTED_VALUE"""),"ME-Oficina 1")</f>
        <v>ME-Oficina 1</v>
      </c>
      <c r="B386" s="108" t="str">
        <f>IFERROR(__xludf.DUMMYFUNCTION("""COMPUTED_VALUE"""),"Meza")</f>
        <v>Meza</v>
      </c>
      <c r="C386" s="108" t="str">
        <f>IFERROR(__xludf.DUMMYFUNCTION("""COMPUTED_VALUE"""),"Oficina 1")</f>
        <v>Oficina 1</v>
      </c>
      <c r="D386" s="108" t="str">
        <f>IFERROR(__xludf.DUMMYFUNCTION("""COMPUTED_VALUE"""),"ME")</f>
        <v>ME</v>
      </c>
      <c r="E386" s="108" t="str">
        <f>IFERROR(__xludf.DUMMYFUNCTION("""COMPUTED_VALUE"""),"B")</f>
        <v>B</v>
      </c>
      <c r="F386" s="108">
        <f>IFERROR(__xludf.DUMMYFUNCTION("""COMPUTED_VALUE"""),31.0)</f>
        <v>31</v>
      </c>
      <c r="G386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1141d661e87a48eca3972105f1629553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1141d661e87a48eca3972105f1629553&amp;showComments=1&amp;guid=6882be48-6626-5238-d3df-94e9f0a0019d</v>
      </c>
      <c r="H386" s="108" t="str">
        <f>IFERROR(__xludf.DUMMYFUNCTION("""COMPUTED_VALUE"""),"Outros")</f>
        <v>Outros</v>
      </c>
      <c r="I386" s="108"/>
      <c r="J386" s="108"/>
    </row>
    <row r="387">
      <c r="A387" s="109" t="str">
        <f>IFERROR(__xludf.DUMMYFUNCTION("""COMPUTED_VALUE"""),"ME-Oficina 2")</f>
        <v>ME-Oficina 2</v>
      </c>
      <c r="B387" s="108" t="str">
        <f>IFERROR(__xludf.DUMMYFUNCTION("""COMPUTED_VALUE"""),"Meza")</f>
        <v>Meza</v>
      </c>
      <c r="C387" s="108" t="str">
        <f>IFERROR(__xludf.DUMMYFUNCTION("""COMPUTED_VALUE"""),"Oficina 2")</f>
        <v>Oficina 2</v>
      </c>
      <c r="D387" s="108" t="str">
        <f>IFERROR(__xludf.DUMMYFUNCTION("""COMPUTED_VALUE"""),"ME")</f>
        <v>ME</v>
      </c>
      <c r="E387" s="108" t="str">
        <f>IFERROR(__xludf.DUMMYFUNCTION("""COMPUTED_VALUE"""),"B")</f>
        <v>B</v>
      </c>
      <c r="F387" s="108">
        <f>IFERROR(__xludf.DUMMYFUNCTION("""COMPUTED_VALUE"""),32.0)</f>
        <v>32</v>
      </c>
      <c r="G387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55a1e05583674f538c0abdf9f6882544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55a1e05583674f538c0abdf9f6882544&amp;showComments=1&amp;guid=6882be48-6626-5238-d3df-94e9f0a0019d</v>
      </c>
      <c r="H387" s="108" t="str">
        <f>IFERROR(__xludf.DUMMYFUNCTION("""COMPUTED_VALUE"""),"Outros")</f>
        <v>Outros</v>
      </c>
      <c r="I387" s="108"/>
      <c r="J387" s="108"/>
    </row>
    <row r="388">
      <c r="A388" s="109" t="str">
        <f>IFERROR(__xludf.DUMMYFUNCTION("""COMPUTED_VALUE"""),"ME-Recepção 1")</f>
        <v>ME-Recepção 1</v>
      </c>
      <c r="B388" s="108" t="str">
        <f>IFERROR(__xludf.DUMMYFUNCTION("""COMPUTED_VALUE"""),"Meza")</f>
        <v>Meza</v>
      </c>
      <c r="C388" s="108" t="str">
        <f>IFERROR(__xludf.DUMMYFUNCTION("""COMPUTED_VALUE"""),"Recepção 1")</f>
        <v>Recepção 1</v>
      </c>
      <c r="D388" s="108" t="str">
        <f>IFERROR(__xludf.DUMMYFUNCTION("""COMPUTED_VALUE"""),"ME")</f>
        <v>ME</v>
      </c>
      <c r="E388" s="108" t="str">
        <f>IFERROR(__xludf.DUMMYFUNCTION("""COMPUTED_VALUE"""),"B")</f>
        <v>B</v>
      </c>
      <c r="F388" s="108">
        <f>IFERROR(__xludf.DUMMYFUNCTION("""COMPUTED_VALUE"""),36.0)</f>
        <v>36</v>
      </c>
      <c r="G388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a37a61e2a61b439cadef1c453b37f071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a37a61e2a61b439cadef1c453b37f071&amp;showComments=1&amp;guid=6882be48-6626-5238-d3df-94e9f0a0019d</v>
      </c>
      <c r="H388" s="108" t="str">
        <f>IFERROR(__xludf.DUMMYFUNCTION("""COMPUTED_VALUE"""),"Outros")</f>
        <v>Outros</v>
      </c>
      <c r="I388" s="108"/>
      <c r="J388" s="108"/>
    </row>
    <row r="389">
      <c r="A389" s="109" t="str">
        <f>IFERROR(__xludf.DUMMYFUNCTION("""COMPUTED_VALUE"""),"ME-Sala Administrativa 1")</f>
        <v>ME-Sala Administrativa 1</v>
      </c>
      <c r="B389" s="108" t="str">
        <f>IFERROR(__xludf.DUMMYFUNCTION("""COMPUTED_VALUE"""),"Meza")</f>
        <v>Meza</v>
      </c>
      <c r="C389" s="108" t="str">
        <f>IFERROR(__xludf.DUMMYFUNCTION("""COMPUTED_VALUE"""),"Sala Administrativa 1")</f>
        <v>Sala Administrativa 1</v>
      </c>
      <c r="D389" s="108" t="str">
        <f>IFERROR(__xludf.DUMMYFUNCTION("""COMPUTED_VALUE"""),"ME")</f>
        <v>ME</v>
      </c>
      <c r="E389" s="108" t="str">
        <f>IFERROR(__xludf.DUMMYFUNCTION("""COMPUTED_VALUE"""),"B")</f>
        <v>B</v>
      </c>
      <c r="F389" s="108">
        <f>IFERROR(__xludf.DUMMYFUNCTION("""COMPUTED_VALUE"""),37.0)</f>
        <v>37</v>
      </c>
      <c r="G389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4577fb555a49427cbc4841b3babe9193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4577fb555a49427cbc4841b3babe9193&amp;showComments=1&amp;guid=6882be48-6626-5238-d3df-94e9f0a0019d</v>
      </c>
      <c r="H389" s="108" t="str">
        <f>IFERROR(__xludf.DUMMYFUNCTION("""COMPUTED_VALUE"""),"Outros")</f>
        <v>Outros</v>
      </c>
      <c r="I389" s="108"/>
      <c r="J389" s="108"/>
    </row>
    <row r="390">
      <c r="A390" s="109" t="str">
        <f>IFERROR(__xludf.DUMMYFUNCTION("""COMPUTED_VALUE"""),"ME-Sala Administrativa 2")</f>
        <v>ME-Sala Administrativa 2</v>
      </c>
      <c r="B390" s="108" t="str">
        <f>IFERROR(__xludf.DUMMYFUNCTION("""COMPUTED_VALUE"""),"Meza")</f>
        <v>Meza</v>
      </c>
      <c r="C390" s="108" t="str">
        <f>IFERROR(__xludf.DUMMYFUNCTION("""COMPUTED_VALUE"""),"Sala Administrativa 2")</f>
        <v>Sala Administrativa 2</v>
      </c>
      <c r="D390" s="108" t="str">
        <f>IFERROR(__xludf.DUMMYFUNCTION("""COMPUTED_VALUE"""),"ME")</f>
        <v>ME</v>
      </c>
      <c r="E390" s="108" t="str">
        <f>IFERROR(__xludf.DUMMYFUNCTION("""COMPUTED_VALUE"""),"B")</f>
        <v>B</v>
      </c>
      <c r="F390" s="108">
        <f>IFERROR(__xludf.DUMMYFUNCTION("""COMPUTED_VALUE"""),38.0)</f>
        <v>38</v>
      </c>
      <c r="G390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b2a4a714228f4a60826728edadc62310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b2a4a714228f4a60826728edadc62310&amp;showComments=1&amp;guid=6882be48-6626-5238-d3df-94e9f0a0019d</v>
      </c>
      <c r="H390" s="108" t="str">
        <f>IFERROR(__xludf.DUMMYFUNCTION("""COMPUTED_VALUE"""),"Outros")</f>
        <v>Outros</v>
      </c>
      <c r="I390" s="108"/>
      <c r="J390" s="108"/>
    </row>
    <row r="391">
      <c r="A391" s="109" t="str">
        <f>IFERROR(__xludf.DUMMYFUNCTION("""COMPUTED_VALUE"""),"ME-Sala Ar Condicionado - CM-M1")</f>
        <v>ME-Sala Ar Condicionado - CM-M1</v>
      </c>
      <c r="B391" s="108" t="str">
        <f>IFERROR(__xludf.DUMMYFUNCTION("""COMPUTED_VALUE"""),"Meza")</f>
        <v>Meza</v>
      </c>
      <c r="C391" s="108" t="str">
        <f>IFERROR(__xludf.DUMMYFUNCTION("""COMPUTED_VALUE"""),"Sala Ar Condicionado - CM-M1")</f>
        <v>Sala Ar Condicionado - CM-M1</v>
      </c>
      <c r="D391" s="108" t="str">
        <f>IFERROR(__xludf.DUMMYFUNCTION("""COMPUTED_VALUE"""),"ME")</f>
        <v>ME</v>
      </c>
      <c r="E391" s="108" t="str">
        <f>IFERROR(__xludf.DUMMYFUNCTION("""COMPUTED_VALUE"""),"B")</f>
        <v>B</v>
      </c>
      <c r="F391" s="108">
        <f>IFERROR(__xludf.DUMMYFUNCTION("""COMPUTED_VALUE"""),25.0)</f>
        <v>25</v>
      </c>
      <c r="G391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49878a2320e74a658e0e7dc6349fdd5a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49878a2320e74a658e0e7dc6349fdd5a&amp;showComments=1&amp;guid=6882be48-6626-5238-d3df-94e9f0a0019d</v>
      </c>
      <c r="H391" s="108" t="str">
        <f>IFERROR(__xludf.DUMMYFUNCTION("""COMPUTED_VALUE"""),"Sala Máquina")</f>
        <v>Sala Máquina</v>
      </c>
      <c r="I391" s="109" t="str">
        <f>IFERROR(__xludf.DUMMYFUNCTION("""COMPUTED_VALUE"""),"https://photos.google.com/search/ME-Sala%20Ar%20Condicionado%20-%20CM-M1")</f>
        <v>https://photos.google.com/search/ME-Sala%20Ar%20Condicionado%20-%20CM-M1</v>
      </c>
      <c r="J391" s="108"/>
    </row>
    <row r="392">
      <c r="A392" s="109" t="str">
        <f>IFERROR(__xludf.DUMMYFUNCTION("""COMPUTED_VALUE"""),"ME-Sala Ar Condicionado - CM-M2")</f>
        <v>ME-Sala Ar Condicionado - CM-M2</v>
      </c>
      <c r="B392" s="108" t="str">
        <f>IFERROR(__xludf.DUMMYFUNCTION("""COMPUTED_VALUE"""),"Meza")</f>
        <v>Meza</v>
      </c>
      <c r="C392" s="108" t="str">
        <f>IFERROR(__xludf.DUMMYFUNCTION("""COMPUTED_VALUE"""),"Sala Ar Condicionado - CM-M2")</f>
        <v>Sala Ar Condicionado - CM-M2</v>
      </c>
      <c r="D392" s="108" t="str">
        <f>IFERROR(__xludf.DUMMYFUNCTION("""COMPUTED_VALUE"""),"ME")</f>
        <v>ME</v>
      </c>
      <c r="E392" s="108" t="str">
        <f>IFERROR(__xludf.DUMMYFUNCTION("""COMPUTED_VALUE"""),"B")</f>
        <v>B</v>
      </c>
      <c r="F392" s="108">
        <f>IFERROR(__xludf.DUMMYFUNCTION("""COMPUTED_VALUE"""),24.0)</f>
        <v>24</v>
      </c>
      <c r="G392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42bca27f3f4543ff9eabcb0cab8bac64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42bca27f3f4543ff9eabcb0cab8bac64&amp;showComments=1&amp;guid=6882be48-6626-5238-d3df-94e9f0a0019d</v>
      </c>
      <c r="H392" s="108" t="str">
        <f>IFERROR(__xludf.DUMMYFUNCTION("""COMPUTED_VALUE"""),"Sala Máquina")</f>
        <v>Sala Máquina</v>
      </c>
      <c r="I392" s="109" t="str">
        <f>IFERROR(__xludf.DUMMYFUNCTION("""COMPUTED_VALUE"""),"https://photos.google.com/search/ME-Sala%20Ar%20Condicionado%20-%20CM-M2")</f>
        <v>https://photos.google.com/search/ME-Sala%20Ar%20Condicionado%20-%20CM-M2</v>
      </c>
      <c r="J392" s="108"/>
    </row>
    <row r="393">
      <c r="A393" s="109" t="str">
        <f>IFERROR(__xludf.DUMMYFUNCTION("""COMPUTED_VALUE"""),"ME-Sala Ar Condicionado - CM-M3")</f>
        <v>ME-Sala Ar Condicionado - CM-M3</v>
      </c>
      <c r="B393" s="108" t="str">
        <f>IFERROR(__xludf.DUMMYFUNCTION("""COMPUTED_VALUE"""),"Meza")</f>
        <v>Meza</v>
      </c>
      <c r="C393" s="108" t="str">
        <f>IFERROR(__xludf.DUMMYFUNCTION("""COMPUTED_VALUE"""),"Sala Ar Condicionado - CM-M3")</f>
        <v>Sala Ar Condicionado - CM-M3</v>
      </c>
      <c r="D393" s="108" t="str">
        <f>IFERROR(__xludf.DUMMYFUNCTION("""COMPUTED_VALUE"""),"ME")</f>
        <v>ME</v>
      </c>
      <c r="E393" s="108" t="str">
        <f>IFERROR(__xludf.DUMMYFUNCTION("""COMPUTED_VALUE"""),"A")</f>
        <v>A</v>
      </c>
      <c r="F393" s="108">
        <f>IFERROR(__xludf.DUMMYFUNCTION("""COMPUTED_VALUE"""),23.0)</f>
        <v>23</v>
      </c>
      <c r="G393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73dd52414fe849a19fb4e0222f3c2556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73dd52414fe849a19fb4e0222f3c2556&amp;showComments=1&amp;guid=6882be48-6626-5238-d3df-94e9f0a0019d</v>
      </c>
      <c r="H393" s="108" t="str">
        <f>IFERROR(__xludf.DUMMYFUNCTION("""COMPUTED_VALUE"""),"Sala Máquina")</f>
        <v>Sala Máquina</v>
      </c>
      <c r="I393" s="109" t="str">
        <f>IFERROR(__xludf.DUMMYFUNCTION("""COMPUTED_VALUE"""),"https://photos.google.com/search/ME-Sala%20Ar%20Condicionado%20-%20CM-M3")</f>
        <v>https://photos.google.com/search/ME-Sala%20Ar%20Condicionado%20-%20CM-M3</v>
      </c>
      <c r="J393" s="108"/>
    </row>
    <row r="394">
      <c r="A394" s="109" t="str">
        <f>IFERROR(__xludf.DUMMYFUNCTION("""COMPUTED_VALUE"""),"ME-Sala Ar Condicionado - CM-M4")</f>
        <v>ME-Sala Ar Condicionado - CM-M4</v>
      </c>
      <c r="B394" s="108" t="str">
        <f>IFERROR(__xludf.DUMMYFUNCTION("""COMPUTED_VALUE"""),"Meza")</f>
        <v>Meza</v>
      </c>
      <c r="C394" s="108" t="str">
        <f>IFERROR(__xludf.DUMMYFUNCTION("""COMPUTED_VALUE"""),"Sala Ar Condicionado - CM-M4")</f>
        <v>Sala Ar Condicionado - CM-M4</v>
      </c>
      <c r="D394" s="108" t="str">
        <f>IFERROR(__xludf.DUMMYFUNCTION("""COMPUTED_VALUE"""),"ME")</f>
        <v>ME</v>
      </c>
      <c r="E394" s="108" t="str">
        <f>IFERROR(__xludf.DUMMYFUNCTION("""COMPUTED_VALUE"""),"A")</f>
        <v>A</v>
      </c>
      <c r="F394" s="108">
        <f>IFERROR(__xludf.DUMMYFUNCTION("""COMPUTED_VALUE"""),22.0)</f>
        <v>22</v>
      </c>
      <c r="G394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817333c7d4a54247a806b9b50bb36c54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817333c7d4a54247a806b9b50bb36c54&amp;showComments=1&amp;guid=6882be48-6626-5238-d3df-94e9f0a0019d</v>
      </c>
      <c r="H394" s="108" t="str">
        <f>IFERROR(__xludf.DUMMYFUNCTION("""COMPUTED_VALUE"""),"Sala Máquina")</f>
        <v>Sala Máquina</v>
      </c>
      <c r="I394" s="109" t="str">
        <f>IFERROR(__xludf.DUMMYFUNCTION("""COMPUTED_VALUE"""),"https://photos.google.com/search/ME-Sala%20Ar%20Condicionado%20-%20CM-M4")</f>
        <v>https://photos.google.com/search/ME-Sala%20Ar%20Condicionado%20-%20CM-M4</v>
      </c>
      <c r="J394" s="108"/>
    </row>
    <row r="395">
      <c r="A395" s="109" t="str">
        <f>IFERROR(__xludf.DUMMYFUNCTION("""COMPUTED_VALUE"""),"ME-Sala Chefia Administrativa")</f>
        <v>ME-Sala Chefia Administrativa</v>
      </c>
      <c r="B395" s="108" t="str">
        <f>IFERROR(__xludf.DUMMYFUNCTION("""COMPUTED_VALUE"""),"Meza")</f>
        <v>Meza</v>
      </c>
      <c r="C395" s="108" t="str">
        <f>IFERROR(__xludf.DUMMYFUNCTION("""COMPUTED_VALUE"""),"Sala Chefia Administrativa")</f>
        <v>Sala Chefia Administrativa</v>
      </c>
      <c r="D395" s="108" t="str">
        <f>IFERROR(__xludf.DUMMYFUNCTION("""COMPUTED_VALUE"""),"ME")</f>
        <v>ME</v>
      </c>
      <c r="E395" s="108" t="str">
        <f>IFERROR(__xludf.DUMMYFUNCTION("""COMPUTED_VALUE"""),"A")</f>
        <v>A</v>
      </c>
      <c r="F395" s="108">
        <f>IFERROR(__xludf.DUMMYFUNCTION("""COMPUTED_VALUE"""),40.0)</f>
        <v>40</v>
      </c>
      <c r="G395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d75a8b2b25b74b7cb12d82a8c8a42758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d75a8b2b25b74b7cb12d82a8c8a42758&amp;showComments=1&amp;guid=6882be48-6626-5238-d3df-94e9f0a0019d</v>
      </c>
      <c r="H395" s="108" t="str">
        <f>IFERROR(__xludf.DUMMYFUNCTION("""COMPUTED_VALUE"""),"Outros")</f>
        <v>Outros</v>
      </c>
      <c r="I395" s="108"/>
      <c r="J395" s="108"/>
    </row>
    <row r="396">
      <c r="A396" s="109" t="str">
        <f>IFERROR(__xludf.DUMMYFUNCTION("""COMPUTED_VALUE"""),"ME-Sala Chefia Cuidados Paliativos")</f>
        <v>ME-Sala Chefia Cuidados Paliativos</v>
      </c>
      <c r="B396" s="108" t="str">
        <f>IFERROR(__xludf.DUMMYFUNCTION("""COMPUTED_VALUE"""),"Meza")</f>
        <v>Meza</v>
      </c>
      <c r="C396" s="108" t="str">
        <f>IFERROR(__xludf.DUMMYFUNCTION("""COMPUTED_VALUE"""),"Sala Chefia Cuidados Paliativos")</f>
        <v>Sala Chefia Cuidados Paliativos</v>
      </c>
      <c r="D396" s="108" t="str">
        <f>IFERROR(__xludf.DUMMYFUNCTION("""COMPUTED_VALUE"""),"ME")</f>
        <v>ME</v>
      </c>
      <c r="E396" s="108" t="str">
        <f>IFERROR(__xludf.DUMMYFUNCTION("""COMPUTED_VALUE"""),"A")</f>
        <v>A</v>
      </c>
      <c r="F396" s="108">
        <f>IFERROR(__xludf.DUMMYFUNCTION("""COMPUTED_VALUE"""),41.0)</f>
        <v>41</v>
      </c>
      <c r="G396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</v>
      </c>
      <c r="H396" s="108" t="str">
        <f>IFERROR(__xludf.DUMMYFUNCTION("""COMPUTED_VALUE"""),"Outros")</f>
        <v>Outros</v>
      </c>
      <c r="I396" s="108"/>
      <c r="J396" s="108"/>
    </row>
    <row r="397">
      <c r="A397" s="109" t="str">
        <f>IFERROR(__xludf.DUMMYFUNCTION("""COMPUTED_VALUE"""),"ME-Sala Chefia Enfermagem")</f>
        <v>ME-Sala Chefia Enfermagem</v>
      </c>
      <c r="B397" s="108" t="str">
        <f>IFERROR(__xludf.DUMMYFUNCTION("""COMPUTED_VALUE"""),"Meza")</f>
        <v>Meza</v>
      </c>
      <c r="C397" s="108" t="str">
        <f>IFERROR(__xludf.DUMMYFUNCTION("""COMPUTED_VALUE"""),"Sala Chefia Enfermagem")</f>
        <v>Sala Chefia Enfermagem</v>
      </c>
      <c r="D397" s="108" t="str">
        <f>IFERROR(__xludf.DUMMYFUNCTION("""COMPUTED_VALUE"""),"ME")</f>
        <v>ME</v>
      </c>
      <c r="E397" s="108" t="str">
        <f>IFERROR(__xludf.DUMMYFUNCTION("""COMPUTED_VALUE"""),"B")</f>
        <v>B</v>
      </c>
      <c r="F397" s="108">
        <f>IFERROR(__xludf.DUMMYFUNCTION("""COMPUTED_VALUE"""),39.0)</f>
        <v>39</v>
      </c>
      <c r="G397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</v>
      </c>
      <c r="H397" s="108" t="str">
        <f>IFERROR(__xludf.DUMMYFUNCTION("""COMPUTED_VALUE"""),"Outros")</f>
        <v>Outros</v>
      </c>
      <c r="I397" s="108"/>
      <c r="J397" s="108"/>
    </row>
    <row r="398">
      <c r="A398" s="109" t="str">
        <f>IFERROR(__xludf.DUMMYFUNCTION("""COMPUTED_VALUE"""),"ME-Sala Chefia Hematologia")</f>
        <v>ME-Sala Chefia Hematologia</v>
      </c>
      <c r="B398" s="108" t="str">
        <f>IFERROR(__xludf.DUMMYFUNCTION("""COMPUTED_VALUE"""),"Meza")</f>
        <v>Meza</v>
      </c>
      <c r="C398" s="108" t="str">
        <f>IFERROR(__xludf.DUMMYFUNCTION("""COMPUTED_VALUE"""),"Sala Chefia Hematologia")</f>
        <v>Sala Chefia Hematologia</v>
      </c>
      <c r="D398" s="108" t="str">
        <f>IFERROR(__xludf.DUMMYFUNCTION("""COMPUTED_VALUE"""),"ME")</f>
        <v>ME</v>
      </c>
      <c r="E398" s="108" t="str">
        <f>IFERROR(__xludf.DUMMYFUNCTION("""COMPUTED_VALUE"""),"A")</f>
        <v>A</v>
      </c>
      <c r="F398" s="108">
        <f>IFERROR(__xludf.DUMMYFUNCTION("""COMPUTED_VALUE"""),45.0)</f>
        <v>45</v>
      </c>
      <c r="G398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ad0a60b7f09c4952b5f4e6a6aa88298d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ad0a60b7f09c4952b5f4e6a6aa88298d&amp;showComments=1&amp;guid=6882be48-6626-5238-d3df-94e9f0a0019d</v>
      </c>
      <c r="H398" s="108" t="str">
        <f>IFERROR(__xludf.DUMMYFUNCTION("""COMPUTED_VALUE"""),"Outros")</f>
        <v>Outros</v>
      </c>
      <c r="I398" s="108"/>
      <c r="J398" s="108"/>
    </row>
    <row r="399">
      <c r="A399" s="109" t="str">
        <f>IFERROR(__xludf.DUMMYFUNCTION("""COMPUTED_VALUE"""),"ME-Sala Chefia Onco Cirúrgica")</f>
        <v>ME-Sala Chefia Onco Cirúrgica</v>
      </c>
      <c r="B399" s="108" t="str">
        <f>IFERROR(__xludf.DUMMYFUNCTION("""COMPUTED_VALUE"""),"Meza")</f>
        <v>Meza</v>
      </c>
      <c r="C399" s="108" t="str">
        <f>IFERROR(__xludf.DUMMYFUNCTION("""COMPUTED_VALUE"""),"Sala Chefia Onco Cirúrgica")</f>
        <v>Sala Chefia Onco Cirúrgica</v>
      </c>
      <c r="D399" s="108" t="str">
        <f>IFERROR(__xludf.DUMMYFUNCTION("""COMPUTED_VALUE"""),"ME")</f>
        <v>ME</v>
      </c>
      <c r="E399" s="108" t="str">
        <f>IFERROR(__xludf.DUMMYFUNCTION("""COMPUTED_VALUE"""),"A")</f>
        <v>A</v>
      </c>
      <c r="F399" s="108">
        <f>IFERROR(__xludf.DUMMYFUNCTION("""COMPUTED_VALUE"""),44.0)</f>
        <v>44</v>
      </c>
      <c r="G399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</v>
      </c>
      <c r="H399" s="108" t="str">
        <f>IFERROR(__xludf.DUMMYFUNCTION("""COMPUTED_VALUE"""),"Outros")</f>
        <v>Outros</v>
      </c>
      <c r="I399" s="108"/>
      <c r="J399" s="108"/>
    </row>
    <row r="400">
      <c r="A400" s="109" t="str">
        <f>IFERROR(__xludf.DUMMYFUNCTION("""COMPUTED_VALUE"""),"ME-Sala Chefia Onco Clínica")</f>
        <v>ME-Sala Chefia Onco Clínica</v>
      </c>
      <c r="B400" s="108" t="str">
        <f>IFERROR(__xludf.DUMMYFUNCTION("""COMPUTED_VALUE"""),"Meza")</f>
        <v>Meza</v>
      </c>
      <c r="C400" s="108" t="str">
        <f>IFERROR(__xludf.DUMMYFUNCTION("""COMPUTED_VALUE"""),"Sala Chefia Onco Clínica")</f>
        <v>Sala Chefia Onco Clínica</v>
      </c>
      <c r="D400" s="108" t="str">
        <f>IFERROR(__xludf.DUMMYFUNCTION("""COMPUTED_VALUE"""),"ME")</f>
        <v>ME</v>
      </c>
      <c r="E400" s="108" t="str">
        <f>IFERROR(__xludf.DUMMYFUNCTION("""COMPUTED_VALUE"""),"A")</f>
        <v>A</v>
      </c>
      <c r="F400" s="108">
        <f>IFERROR(__xludf.DUMMYFUNCTION("""COMPUTED_VALUE"""),42.0)</f>
        <v>42</v>
      </c>
      <c r="G400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da4c85265db5458ebdde2bf6c457821c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da4c85265db5458ebdde2bf6c457821c&amp;showComments=1&amp;guid=6882be48-6626-5238-d3df-94e9f0a0019d</v>
      </c>
      <c r="H400" s="108" t="str">
        <f>IFERROR(__xludf.DUMMYFUNCTION("""COMPUTED_VALUE"""),"Outros")</f>
        <v>Outros</v>
      </c>
      <c r="I400" s="108"/>
      <c r="J400" s="108"/>
    </row>
    <row r="401">
      <c r="A401" s="109" t="str">
        <f>IFERROR(__xludf.DUMMYFUNCTION("""COMPUTED_VALUE"""),"ME-Sala Compressor Tubo Pneumático")</f>
        <v>ME-Sala Compressor Tubo Pneumático</v>
      </c>
      <c r="B401" s="108" t="str">
        <f>IFERROR(__xludf.DUMMYFUNCTION("""COMPUTED_VALUE"""),"Meza")</f>
        <v>Meza</v>
      </c>
      <c r="C401" s="108" t="str">
        <f>IFERROR(__xludf.DUMMYFUNCTION("""COMPUTED_VALUE"""),"Sala Compressor Tubo Pneumático")</f>
        <v>Sala Compressor Tubo Pneumático</v>
      </c>
      <c r="D401" s="108" t="str">
        <f>IFERROR(__xludf.DUMMYFUNCTION("""COMPUTED_VALUE"""),"ME")</f>
        <v>ME</v>
      </c>
      <c r="E401" s="108" t="str">
        <f>IFERROR(__xludf.DUMMYFUNCTION("""COMPUTED_VALUE"""),"A")</f>
        <v>A</v>
      </c>
      <c r="F401" s="108">
        <f>IFERROR(__xludf.DUMMYFUNCTION("""COMPUTED_VALUE"""),3.0)</f>
        <v>3</v>
      </c>
      <c r="G401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2e2229751fd846b7b77716d6462a94e8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2e2229751fd846b7b77716d6462a94e8&amp;showComments=1&amp;guid=6882be48-6626-5238-d3df-94e9f0a0019d</v>
      </c>
      <c r="H401" s="108" t="str">
        <f>IFERROR(__xludf.DUMMYFUNCTION("""COMPUTED_VALUE"""),"Sala Máquina")</f>
        <v>Sala Máquina</v>
      </c>
      <c r="I401" s="108"/>
      <c r="J401" s="108"/>
    </row>
    <row r="402">
      <c r="A402" s="109" t="str">
        <f>IFERROR(__xludf.DUMMYFUNCTION("""COMPUTED_VALUE"""),"ME-Sala de Espera 1")</f>
        <v>ME-Sala de Espera 1</v>
      </c>
      <c r="B402" s="108" t="str">
        <f>IFERROR(__xludf.DUMMYFUNCTION("""COMPUTED_VALUE"""),"Meza")</f>
        <v>Meza</v>
      </c>
      <c r="C402" s="108" t="str">
        <f>IFERROR(__xludf.DUMMYFUNCTION("""COMPUTED_VALUE"""),"Sala de Espera 1")</f>
        <v>Sala de Espera 1</v>
      </c>
      <c r="D402" s="108" t="str">
        <f>IFERROR(__xludf.DUMMYFUNCTION("""COMPUTED_VALUE"""),"ME")</f>
        <v>ME</v>
      </c>
      <c r="E402" s="108" t="str">
        <f>IFERROR(__xludf.DUMMYFUNCTION("""COMPUTED_VALUE"""),"B")</f>
        <v>B</v>
      </c>
      <c r="F402" s="108">
        <f>IFERROR(__xludf.DUMMYFUNCTION("""COMPUTED_VALUE"""),33.0)</f>
        <v>33</v>
      </c>
      <c r="G402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efa7afbe1d944aa9876da6dd20aff2e5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efa7afbe1d944aa9876da6dd20aff2e5&amp;showComments=1&amp;guid=6882be48-6626-5238-d3df-94e9f0a0019d</v>
      </c>
      <c r="H402" s="108" t="str">
        <f>IFERROR(__xludf.DUMMYFUNCTION("""COMPUTED_VALUE"""),"Outros")</f>
        <v>Outros</v>
      </c>
      <c r="I402" s="108"/>
      <c r="J402" s="108"/>
    </row>
    <row r="403">
      <c r="A403" s="109" t="str">
        <f>IFERROR(__xludf.DUMMYFUNCTION("""COMPUTED_VALUE"""),"ME-Sala de Estar")</f>
        <v>ME-Sala de Estar</v>
      </c>
      <c r="B403" s="108" t="str">
        <f>IFERROR(__xludf.DUMMYFUNCTION("""COMPUTED_VALUE"""),"Meza")</f>
        <v>Meza</v>
      </c>
      <c r="C403" s="108" t="str">
        <f>IFERROR(__xludf.DUMMYFUNCTION("""COMPUTED_VALUE"""),"Sala de Estar")</f>
        <v>Sala de Estar</v>
      </c>
      <c r="D403" s="108" t="str">
        <f>IFERROR(__xludf.DUMMYFUNCTION("""COMPUTED_VALUE"""),"ME")</f>
        <v>ME</v>
      </c>
      <c r="E403" s="108" t="str">
        <f>IFERROR(__xludf.DUMMYFUNCTION("""COMPUTED_VALUE"""),"B")</f>
        <v>B</v>
      </c>
      <c r="F403" s="108">
        <f>IFERROR(__xludf.DUMMYFUNCTION("""COMPUTED_VALUE"""),30.0)</f>
        <v>30</v>
      </c>
      <c r="G403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4dc34b91966945ffae8b2cbff2b86744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4dc34b91966945ffae8b2cbff2b86744&amp;showComments=1&amp;guid=6882be48-6626-5238-d3df-94e9f0a0019d</v>
      </c>
      <c r="H403" s="108" t="str">
        <f>IFERROR(__xludf.DUMMYFUNCTION("""COMPUTED_VALUE"""),"Outros")</f>
        <v>Outros</v>
      </c>
      <c r="I403" s="108"/>
      <c r="J403" s="108"/>
    </row>
    <row r="404">
      <c r="A404" s="109" t="str">
        <f>IFERROR(__xludf.DUMMYFUNCTION("""COMPUTED_VALUE"""),"ME-Sala de Reuniões")</f>
        <v>ME-Sala de Reuniões</v>
      </c>
      <c r="B404" s="108" t="str">
        <f>IFERROR(__xludf.DUMMYFUNCTION("""COMPUTED_VALUE"""),"Meza")</f>
        <v>Meza</v>
      </c>
      <c r="C404" s="108" t="str">
        <f>IFERROR(__xludf.DUMMYFUNCTION("""COMPUTED_VALUE"""),"Sala de Reuniões")</f>
        <v>Sala de Reuniões</v>
      </c>
      <c r="D404" s="108" t="str">
        <f>IFERROR(__xludf.DUMMYFUNCTION("""COMPUTED_VALUE"""),"ME")</f>
        <v>ME</v>
      </c>
      <c r="E404" s="108" t="str">
        <f>IFERROR(__xludf.DUMMYFUNCTION("""COMPUTED_VALUE"""),"B")</f>
        <v>B</v>
      </c>
      <c r="F404" s="108">
        <f>IFERROR(__xludf.DUMMYFUNCTION("""COMPUTED_VALUE"""),35.0)</f>
        <v>35</v>
      </c>
      <c r="G404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</v>
      </c>
      <c r="H404" s="108" t="str">
        <f>IFERROR(__xludf.DUMMYFUNCTION("""COMPUTED_VALUE"""),"Sala Reunião")</f>
        <v>Sala Reunião</v>
      </c>
      <c r="I404" s="108"/>
      <c r="J404" s="108"/>
    </row>
    <row r="405">
      <c r="A405" s="109" t="str">
        <f>IFERROR(__xludf.DUMMYFUNCTION("""COMPUTED_VALUE"""),"ME-Sala Elétrica QDGM")</f>
        <v>ME-Sala Elétrica QDGM</v>
      </c>
      <c r="B405" s="108" t="str">
        <f>IFERROR(__xludf.DUMMYFUNCTION("""COMPUTED_VALUE"""),"Meza")</f>
        <v>Meza</v>
      </c>
      <c r="C405" s="108" t="str">
        <f>IFERROR(__xludf.DUMMYFUNCTION("""COMPUTED_VALUE"""),"Sala Elétrica QDGM")</f>
        <v>Sala Elétrica QDGM</v>
      </c>
      <c r="D405" s="108" t="str">
        <f>IFERROR(__xludf.DUMMYFUNCTION("""COMPUTED_VALUE"""),"ME")</f>
        <v>ME</v>
      </c>
      <c r="E405" s="108" t="str">
        <f>IFERROR(__xludf.DUMMYFUNCTION("""COMPUTED_VALUE"""),"B")</f>
        <v>B</v>
      </c>
      <c r="F405" s="108">
        <f>IFERROR(__xludf.DUMMYFUNCTION("""COMPUTED_VALUE"""),49.0)</f>
        <v>49</v>
      </c>
      <c r="G405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showComments=1&amp;guid=6882be48-6626-5238-d3df-94e9f0a0019d</v>
      </c>
      <c r="H405" s="108" t="str">
        <f>IFERROR(__xludf.DUMMYFUNCTION("""COMPUTED_VALUE"""),"Sala Elétrica")</f>
        <v>Sala Elétrica</v>
      </c>
      <c r="I405" s="109" t="str">
        <f>IFERROR(__xludf.DUMMYFUNCTION("""COMPUTED_VALUE"""),"https://photos.google.com/search/ME-Sala%20El%C3%A9trica%20QDGM")</f>
        <v>https://photos.google.com/search/ME-Sala%20El%C3%A9trica%20QDGM</v>
      </c>
      <c r="J405" s="108"/>
    </row>
    <row r="406">
      <c r="A406" s="109" t="str">
        <f>IFERROR(__xludf.DUMMYFUNCTION("""COMPUTED_VALUE"""),"ME-Sala Rack BB - 02 - TI")</f>
        <v>ME-Sala Rack BB - 02 - TI</v>
      </c>
      <c r="B406" s="108" t="str">
        <f>IFERROR(__xludf.DUMMYFUNCTION("""COMPUTED_VALUE"""),"Meza")</f>
        <v>Meza</v>
      </c>
      <c r="C406" s="108" t="str">
        <f>IFERROR(__xludf.DUMMYFUNCTION("""COMPUTED_VALUE"""),"Sala Rack BB - 02 - TI")</f>
        <v>Sala Rack BB - 02 - TI</v>
      </c>
      <c r="D406" s="108" t="str">
        <f>IFERROR(__xludf.DUMMYFUNCTION("""COMPUTED_VALUE"""),"ME")</f>
        <v>ME</v>
      </c>
      <c r="E406" s="108" t="str">
        <f>IFERROR(__xludf.DUMMYFUNCTION("""COMPUTED_VALUE"""),"A")</f>
        <v>A</v>
      </c>
      <c r="F406" s="108">
        <f>IFERROR(__xludf.DUMMYFUNCTION("""COMPUTED_VALUE"""),21.0)</f>
        <v>21</v>
      </c>
      <c r="G406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4be1e178922b4edfbdbc591a8becb63c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4be1e178922b4edfbdbc591a8becb63c&amp;showComments=1&amp;guid=6882be48-6626-5238-d3df-94e9f0a0019d</v>
      </c>
      <c r="H406" s="108" t="str">
        <f>IFERROR(__xludf.DUMMYFUNCTION("""COMPUTED_VALUE"""),"Sala Elétrica")</f>
        <v>Sala Elétrica</v>
      </c>
      <c r="I406" s="108"/>
      <c r="J406" s="108"/>
    </row>
    <row r="407">
      <c r="A407" s="109" t="str">
        <f>IFERROR(__xludf.DUMMYFUNCTION("""COMPUTED_VALUE"""),"ME-Sala Voluntários")</f>
        <v>ME-Sala Voluntários</v>
      </c>
      <c r="B407" s="108" t="str">
        <f>IFERROR(__xludf.DUMMYFUNCTION("""COMPUTED_VALUE"""),"Meza")</f>
        <v>Meza</v>
      </c>
      <c r="C407" s="108" t="str">
        <f>IFERROR(__xludf.DUMMYFUNCTION("""COMPUTED_VALUE"""),"Sala Voluntários")</f>
        <v>Sala Voluntários</v>
      </c>
      <c r="D407" s="108" t="str">
        <f>IFERROR(__xludf.DUMMYFUNCTION("""COMPUTED_VALUE"""),"ME")</f>
        <v>ME</v>
      </c>
      <c r="E407" s="108" t="str">
        <f>IFERROR(__xludf.DUMMYFUNCTION("""COMPUTED_VALUE"""),"A")</f>
        <v>A</v>
      </c>
      <c r="F407" s="108">
        <f>IFERROR(__xludf.DUMMYFUNCTION("""COMPUTED_VALUE"""),16.0)</f>
        <v>16</v>
      </c>
      <c r="G407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fe5679fcc2d4474f8754f812caa78cb1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fe5679fcc2d4474f8754f812caa78cb1&amp;showComments=1&amp;guid=6882be48-6626-5238-d3df-94e9f0a0019d</v>
      </c>
      <c r="H407" s="108" t="str">
        <f>IFERROR(__xludf.DUMMYFUNCTION("""COMPUTED_VALUE"""),"Outros")</f>
        <v>Outros</v>
      </c>
      <c r="I407" s="108"/>
      <c r="J407" s="108"/>
    </row>
    <row r="408">
      <c r="A408" s="109" t="str">
        <f>IFERROR(__xludf.DUMMYFUNCTION("""COMPUTED_VALUE"""),"ME-Salão de Beleza")</f>
        <v>ME-Salão de Beleza</v>
      </c>
      <c r="B408" s="108" t="str">
        <f>IFERROR(__xludf.DUMMYFUNCTION("""COMPUTED_VALUE"""),"Meza")</f>
        <v>Meza</v>
      </c>
      <c r="C408" s="108" t="str">
        <f>IFERROR(__xludf.DUMMYFUNCTION("""COMPUTED_VALUE"""),"Salão de Beleza")</f>
        <v>Salão de Beleza</v>
      </c>
      <c r="D408" s="108" t="str">
        <f>IFERROR(__xludf.DUMMYFUNCTION("""COMPUTED_VALUE"""),"ME")</f>
        <v>ME</v>
      </c>
      <c r="E408" s="108" t="str">
        <f>IFERROR(__xludf.DUMMYFUNCTION("""COMPUTED_VALUE"""),"A")</f>
        <v>A</v>
      </c>
      <c r="F408" s="108">
        <f>IFERROR(__xludf.DUMMYFUNCTION("""COMPUTED_VALUE"""),8.0)</f>
        <v>8</v>
      </c>
      <c r="G408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ef71e808754d42e29bcf92a3b43fbfd6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ef71e808754d42e29bcf92a3b43fbfd6&amp;showComments=1&amp;guid=6882be48-6626-5238-d3df-94e9f0a0019d</v>
      </c>
      <c r="H408" s="108" t="str">
        <f>IFERROR(__xludf.DUMMYFUNCTION("""COMPUTED_VALUE"""),"Outros")</f>
        <v>Outros</v>
      </c>
      <c r="I408" s="108"/>
      <c r="J408" s="108"/>
    </row>
    <row r="409">
      <c r="A409" s="109" t="str">
        <f>IFERROR(__xludf.DUMMYFUNCTION("""COMPUTED_VALUE"""),"ME-Sanitário Funcionários Feminino")</f>
        <v>ME-Sanitário Funcionários Feminino</v>
      </c>
      <c r="B409" s="108" t="str">
        <f>IFERROR(__xludf.DUMMYFUNCTION("""COMPUTED_VALUE"""),"Meza")</f>
        <v>Meza</v>
      </c>
      <c r="C409" s="108" t="str">
        <f>IFERROR(__xludf.DUMMYFUNCTION("""COMPUTED_VALUE"""),"Sanitário Funcionários Feminino")</f>
        <v>Sanitário Funcionários Feminino</v>
      </c>
      <c r="D409" s="108" t="str">
        <f>IFERROR(__xludf.DUMMYFUNCTION("""COMPUTED_VALUE"""),"ME")</f>
        <v>ME</v>
      </c>
      <c r="E409" s="108" t="str">
        <f>IFERROR(__xludf.DUMMYFUNCTION("""COMPUTED_VALUE"""),"A")</f>
        <v>A</v>
      </c>
      <c r="F409" s="108">
        <f>IFERROR(__xludf.DUMMYFUNCTION("""COMPUTED_VALUE"""),4.0)</f>
        <v>4</v>
      </c>
      <c r="G409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7553496612ae4c71a1f9901cb5e0cc38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7553496612ae4c71a1f9901cb5e0cc38&amp;showComments=1&amp;guid=6882be48-6626-5238-d3df-94e9f0a0019d</v>
      </c>
      <c r="H409" s="108" t="str">
        <f>IFERROR(__xludf.DUMMYFUNCTION("""COMPUTED_VALUE"""),"Sanitário")</f>
        <v>Sanitário</v>
      </c>
      <c r="I409" s="108"/>
      <c r="J409" s="108"/>
    </row>
    <row r="410">
      <c r="A410" s="109" t="str">
        <f>IFERROR(__xludf.DUMMYFUNCTION("""COMPUTED_VALUE"""),"ME-Sanitário Funcionários Masculino")</f>
        <v>ME-Sanitário Funcionários Masculino</v>
      </c>
      <c r="B410" s="108" t="str">
        <f>IFERROR(__xludf.DUMMYFUNCTION("""COMPUTED_VALUE"""),"Meza")</f>
        <v>Meza</v>
      </c>
      <c r="C410" s="108" t="str">
        <f>IFERROR(__xludf.DUMMYFUNCTION("""COMPUTED_VALUE"""),"Sanitário Funcionários Masculino")</f>
        <v>Sanitário Funcionários Masculino</v>
      </c>
      <c r="D410" s="108" t="str">
        <f>IFERROR(__xludf.DUMMYFUNCTION("""COMPUTED_VALUE"""),"ME")</f>
        <v>ME</v>
      </c>
      <c r="E410" s="108" t="str">
        <f>IFERROR(__xludf.DUMMYFUNCTION("""COMPUTED_VALUE"""),"A")</f>
        <v>A</v>
      </c>
      <c r="F410" s="108">
        <f>IFERROR(__xludf.DUMMYFUNCTION("""COMPUTED_VALUE"""),6.0)</f>
        <v>6</v>
      </c>
      <c r="G410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bedf8ccdacb849d184c756f27c2e8474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bedf8ccdacb849d184c756f27c2e8474&amp;showComments=1&amp;guid=6882be48-6626-5238-d3df-94e9f0a0019d</v>
      </c>
      <c r="H410" s="108" t="str">
        <f>IFERROR(__xludf.DUMMYFUNCTION("""COMPUTED_VALUE"""),"Sanitário")</f>
        <v>Sanitário</v>
      </c>
      <c r="I410" s="108"/>
      <c r="J410" s="108"/>
    </row>
    <row r="411">
      <c r="A411" s="109" t="str">
        <f>IFERROR(__xludf.DUMMYFUNCTION("""COMPUTED_VALUE"""),"ME-Sanitário Público Feminino")</f>
        <v>ME-Sanitário Público Feminino</v>
      </c>
      <c r="B411" s="108" t="str">
        <f>IFERROR(__xludf.DUMMYFUNCTION("""COMPUTED_VALUE"""),"Meza")</f>
        <v>Meza</v>
      </c>
      <c r="C411" s="108" t="str">
        <f>IFERROR(__xludf.DUMMYFUNCTION("""COMPUTED_VALUE"""),"Sanitário Público Feminino")</f>
        <v>Sanitário Público Feminino</v>
      </c>
      <c r="D411" s="108" t="str">
        <f>IFERROR(__xludf.DUMMYFUNCTION("""COMPUTED_VALUE"""),"ME")</f>
        <v>ME</v>
      </c>
      <c r="E411" s="108" t="str">
        <f>IFERROR(__xludf.DUMMYFUNCTION("""COMPUTED_VALUE"""),"A")</f>
        <v>A</v>
      </c>
      <c r="F411" s="108">
        <f>IFERROR(__xludf.DUMMYFUNCTION("""COMPUTED_VALUE"""),13.0)</f>
        <v>13</v>
      </c>
      <c r="G411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32cf0fa5ed3149c8b10e0d3fc113dc95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32cf0fa5ed3149c8b10e0d3fc113dc95&amp;showComments=1&amp;guid=6882be48-6626-5238-d3df-94e9f0a0019d</v>
      </c>
      <c r="H411" s="108" t="str">
        <f>IFERROR(__xludf.DUMMYFUNCTION("""COMPUTED_VALUE"""),"Sanitário")</f>
        <v>Sanitário</v>
      </c>
      <c r="I411" s="108"/>
      <c r="J411" s="108"/>
    </row>
    <row r="412">
      <c r="A412" s="109" t="str">
        <f>IFERROR(__xludf.DUMMYFUNCTION("""COMPUTED_VALUE"""),"ME-Sanitário Público Masculino")</f>
        <v>ME-Sanitário Público Masculino</v>
      </c>
      <c r="B412" s="108" t="str">
        <f>IFERROR(__xludf.DUMMYFUNCTION("""COMPUTED_VALUE"""),"Meza")</f>
        <v>Meza</v>
      </c>
      <c r="C412" s="108" t="str">
        <f>IFERROR(__xludf.DUMMYFUNCTION("""COMPUTED_VALUE"""),"Sanitário Público Masculino")</f>
        <v>Sanitário Público Masculino</v>
      </c>
      <c r="D412" s="108" t="str">
        <f>IFERROR(__xludf.DUMMYFUNCTION("""COMPUTED_VALUE"""),"ME")</f>
        <v>ME</v>
      </c>
      <c r="E412" s="108" t="str">
        <f>IFERROR(__xludf.DUMMYFUNCTION("""COMPUTED_VALUE"""),"A")</f>
        <v>A</v>
      </c>
      <c r="F412" s="108">
        <f>IFERROR(__xludf.DUMMYFUNCTION("""COMPUTED_VALUE"""),12.0)</f>
        <v>12</v>
      </c>
      <c r="G412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772c9bf6f84146ed880f761660f555a9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772c9bf6f84146ed880f761660f555a9&amp;showComments=1&amp;guid=6882be48-6626-5238-d3df-94e9f0a0019d</v>
      </c>
      <c r="H412" s="108" t="str">
        <f>IFERROR(__xludf.DUMMYFUNCTION("""COMPUTED_VALUE"""),"Sanitário")</f>
        <v>Sanitário</v>
      </c>
      <c r="I412" s="108"/>
      <c r="J412" s="108"/>
    </row>
    <row r="413">
      <c r="A413" s="109" t="str">
        <f>IFERROR(__xludf.DUMMYFUNCTION("""COMPUTED_VALUE"""),"ME-Sanitário Público PCD Feminino")</f>
        <v>ME-Sanitário Público PCD Feminino</v>
      </c>
      <c r="B413" s="108" t="str">
        <f>IFERROR(__xludf.DUMMYFUNCTION("""COMPUTED_VALUE"""),"Meza")</f>
        <v>Meza</v>
      </c>
      <c r="C413" s="108" t="str">
        <f>IFERROR(__xludf.DUMMYFUNCTION("""COMPUTED_VALUE"""),"Sanitário Público PCD Feminino")</f>
        <v>Sanitário Público PCD Feminino</v>
      </c>
      <c r="D413" s="108" t="str">
        <f>IFERROR(__xludf.DUMMYFUNCTION("""COMPUTED_VALUE"""),"ME")</f>
        <v>ME</v>
      </c>
      <c r="E413" s="108" t="str">
        <f>IFERROR(__xludf.DUMMYFUNCTION("""COMPUTED_VALUE"""),"A")</f>
        <v>A</v>
      </c>
      <c r="F413" s="108">
        <f>IFERROR(__xludf.DUMMYFUNCTION("""COMPUTED_VALUE"""),11.0)</f>
        <v>11</v>
      </c>
      <c r="G413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22e972b54a6a4a7bb73a5a51bcb9cabc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22e972b54a6a4a7bb73a5a51bcb9cabc&amp;showComments=1&amp;guid=6882be48-6626-5238-d3df-94e9f0a0019d</v>
      </c>
      <c r="H413" s="108" t="str">
        <f>IFERROR(__xludf.DUMMYFUNCTION("""COMPUTED_VALUE"""),"Sanitário")</f>
        <v>Sanitário</v>
      </c>
      <c r="I413" s="108"/>
      <c r="J413" s="108"/>
    </row>
    <row r="414">
      <c r="A414" s="109" t="str">
        <f>IFERROR(__xludf.DUMMYFUNCTION("""COMPUTED_VALUE"""),"ME-Sanitário Público PCD Masculino")</f>
        <v>ME-Sanitário Público PCD Masculino</v>
      </c>
      <c r="B414" s="108" t="str">
        <f>IFERROR(__xludf.DUMMYFUNCTION("""COMPUTED_VALUE"""),"Meza")</f>
        <v>Meza</v>
      </c>
      <c r="C414" s="108" t="str">
        <f>IFERROR(__xludf.DUMMYFUNCTION("""COMPUTED_VALUE"""),"Sanitário Público PCD Masculino")</f>
        <v>Sanitário Público PCD Masculino</v>
      </c>
      <c r="D414" s="108" t="str">
        <f>IFERROR(__xludf.DUMMYFUNCTION("""COMPUTED_VALUE"""),"ME")</f>
        <v>ME</v>
      </c>
      <c r="E414" s="108" t="str">
        <f>IFERROR(__xludf.DUMMYFUNCTION("""COMPUTED_VALUE"""),"A")</f>
        <v>A</v>
      </c>
      <c r="F414" s="108">
        <f>IFERROR(__xludf.DUMMYFUNCTION("""COMPUTED_VALUE"""),14.0)</f>
        <v>14</v>
      </c>
      <c r="G414" s="109" t="str">
        <f>IFERROR(__xludf.DUMMYFUNCTION("""COMPUTED_VALUE"""),"https://myhub.autodesk360.com/ue29d95bb/g/projects/20210514412106331/data/dXJuOmFkc2sud2lwcHJvZDpmcy5mb2xkZXI6Y28ucU04eGNtQzdReXliS0NURmJQYUFTQQ/dXJuOmFkc2sud2lwcHJvZDpkbS5saW5lYWdlOkJRbkhGZkdnU2t5WURIVlJXSUI1eWc/viewer?version=1&amp;commentId=urn:adsk.commen"&amp;"ts:social.comment:edf6c98b4eae47fe8918564934b28ae1&amp;showComments=1&amp;guid=6882be48-6626-5238-d3df-94e9f0a0019d")</f>
        <v>https://myhub.autodesk360.com/ue29d95bb/g/projects/20210514412106331/data/dXJuOmFkc2sud2lwcHJvZDpmcy5mb2xkZXI6Y28ucU04eGNtQzdReXliS0NURmJQYUFTQQ/dXJuOmFkc2sud2lwcHJvZDpkbS5saW5lYWdlOkJRbkhGZkdnU2t5WURIVlJXSUI1eWc/viewer?version=1&amp;commentId=urn:adsk.comments:social.comment:edf6c98b4eae47fe8918564934b28ae1&amp;showComments=1&amp;guid=6882be48-6626-5238-d3df-94e9f0a0019d</v>
      </c>
      <c r="H414" s="108" t="str">
        <f>IFERROR(__xludf.DUMMYFUNCTION("""COMPUTED_VALUE"""),"Sanitário")</f>
        <v>Sanitário</v>
      </c>
      <c r="I414" s="108"/>
      <c r="J414" s="108"/>
    </row>
    <row r="415">
      <c r="A415" s="109" t="str">
        <f>IFERROR(__xludf.DUMMYFUNCTION("""COMPUTED_VALUE"""),"TE")</f>
        <v>TE</v>
      </c>
      <c r="B415" s="108" t="str">
        <f>IFERROR(__xludf.DUMMYFUNCTION("""COMPUTED_VALUE"""),"Terreo")</f>
        <v>Terreo</v>
      </c>
      <c r="C415" s="108" t="str">
        <f>IFERROR(__xludf.DUMMYFUNCTION("""COMPUTED_VALUE"""),"TE")</f>
        <v>TE</v>
      </c>
      <c r="D415" s="108"/>
      <c r="E415" s="108"/>
      <c r="F415" s="108"/>
      <c r="G415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16b879655a55419cb6f0ead220fe57c1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16b879655a55419cb6f0ead220fe57c1&amp;showComments=1&amp;guid=6882be48-6626-5238-d3df-94e9f0a0019d</v>
      </c>
      <c r="H415" s="108" t="str">
        <f>IFERROR(__xludf.DUMMYFUNCTION("""COMPUTED_VALUE"""),"Geral")</f>
        <v>Geral</v>
      </c>
      <c r="I415" s="109" t="str">
        <f>IFERROR(__xludf.DUMMYFUNCTION("""COMPUTED_VALUE"""),"https://photos.google.com/share/AF1QipNhWdd3sP4dFXvzgJcz1PYlo8KAPU0FfBoN9ALrJ17JfdHw98gS8aidzou2grXQmQ?key=Q0JlLU9GSGhPSDA1anlJTXAySnNfLV90Z0k3Z1Bn")</f>
        <v>https://photos.google.com/share/AF1QipNhWdd3sP4dFXvzgJcz1PYlo8KAPU0FfBoN9ALrJ17JfdHw98gS8aidzou2grXQmQ?key=Q0JlLU9GSGhPSDA1anlJTXAySnNfLV90Z0k3Z1Bn</v>
      </c>
      <c r="J415" s="108"/>
    </row>
    <row r="416">
      <c r="A416" s="109" t="str">
        <f>IFERROR(__xludf.DUMMYFUNCTION("""COMPUTED_VALUE"""),"TE-Área Registro de Pacientes")</f>
        <v>TE-Área Registro de Pacientes</v>
      </c>
      <c r="B416" s="108" t="str">
        <f>IFERROR(__xludf.DUMMYFUNCTION("""COMPUTED_VALUE"""),"Terreo")</f>
        <v>Terreo</v>
      </c>
      <c r="C416" s="108" t="str">
        <f>IFERROR(__xludf.DUMMYFUNCTION("""COMPUTED_VALUE"""),"Área Registro de Pacientes")</f>
        <v>Área Registro de Pacientes</v>
      </c>
      <c r="D416" s="108" t="str">
        <f>IFERROR(__xludf.DUMMYFUNCTION("""COMPUTED_VALUE"""),"TE")</f>
        <v>TE</v>
      </c>
      <c r="E416" s="108" t="str">
        <f>IFERROR(__xludf.DUMMYFUNCTION("""COMPUTED_VALUE"""),"A")</f>
        <v>A</v>
      </c>
      <c r="F416" s="108">
        <f>IFERROR(__xludf.DUMMYFUNCTION("""COMPUTED_VALUE"""),26.0)</f>
        <v>26</v>
      </c>
      <c r="G416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add95757073141f9a978e9bf72eb6385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add95757073141f9a978e9bf72eb6385&amp;showComments=1&amp;guid=6882be48-6626-5238-d3df-94e9f0a0019d</v>
      </c>
      <c r="H416" s="108" t="str">
        <f>IFERROR(__xludf.DUMMYFUNCTION("""COMPUTED_VALUE"""),"Recepção")</f>
        <v>Recepção</v>
      </c>
      <c r="I416" s="108"/>
      <c r="J416" s="108"/>
    </row>
    <row r="417">
      <c r="A417" s="109" t="str">
        <f>IFERROR(__xludf.DUMMYFUNCTION("""COMPUTED_VALUE"""),"TE-Casa de Bombas")</f>
        <v>TE-Casa de Bombas</v>
      </c>
      <c r="B417" s="108" t="str">
        <f>IFERROR(__xludf.DUMMYFUNCTION("""COMPUTED_VALUE"""),"Terreo")</f>
        <v>Terreo</v>
      </c>
      <c r="C417" s="108" t="str">
        <f>IFERROR(__xludf.DUMMYFUNCTION("""COMPUTED_VALUE"""),"Casa de Bombas")</f>
        <v>Casa de Bombas</v>
      </c>
      <c r="D417" s="108" t="str">
        <f>IFERROR(__xludf.DUMMYFUNCTION("""COMPUTED_VALUE"""),"TE")</f>
        <v>TE</v>
      </c>
      <c r="E417" s="108" t="str">
        <f>IFERROR(__xludf.DUMMYFUNCTION("""COMPUTED_VALUE"""),"A")</f>
        <v>A</v>
      </c>
      <c r="F417" s="108">
        <f>IFERROR(__xludf.DUMMYFUNCTION("""COMPUTED_VALUE"""),37.0)</f>
        <v>37</v>
      </c>
      <c r="G417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</v>
      </c>
      <c r="H417" s="108" t="str">
        <f>IFERROR(__xludf.DUMMYFUNCTION("""COMPUTED_VALUE"""),"Sala Máquina")</f>
        <v>Sala Máquina</v>
      </c>
      <c r="I417" s="108"/>
      <c r="J417" s="108"/>
    </row>
    <row r="418">
      <c r="A418" s="108" t="str">
        <f>IFERROR(__xludf.DUMMYFUNCTION("""COMPUTED_VALUE"""),"TE-Circulação Central")</f>
        <v>TE-Circulação Central</v>
      </c>
      <c r="B418" s="108" t="str">
        <f>IFERROR(__xludf.DUMMYFUNCTION("""COMPUTED_VALUE"""),"Terreo")</f>
        <v>Terreo</v>
      </c>
      <c r="C418" s="108" t="str">
        <f>IFERROR(__xludf.DUMMYFUNCTION("""COMPUTED_VALUE"""),"Circulação Central")</f>
        <v>Circulação Central</v>
      </c>
      <c r="D418" s="108" t="str">
        <f>IFERROR(__xludf.DUMMYFUNCTION("""COMPUTED_VALUE"""),"TE")</f>
        <v>TE</v>
      </c>
      <c r="E418" s="108" t="str">
        <f>IFERROR(__xludf.DUMMYFUNCTION("""COMPUTED_VALUE"""),"A")</f>
        <v>A</v>
      </c>
      <c r="F418" s="108">
        <f>IFERROR(__xludf.DUMMYFUNCTION("""COMPUTED_VALUE"""),61.0)</f>
        <v>61</v>
      </c>
      <c r="G418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</v>
      </c>
      <c r="H418" s="108" t="str">
        <f>IFERROR(__xludf.DUMMYFUNCTION("""COMPUTED_VALUE"""),"Circulação / Corredores")</f>
        <v>Circulação / Corredores</v>
      </c>
      <c r="I418" s="108"/>
      <c r="J418" s="108"/>
    </row>
    <row r="419">
      <c r="A419" s="108" t="str">
        <f>IFERROR(__xludf.DUMMYFUNCTION("""COMPUTED_VALUE"""),"TE-Circulação Consultórios")</f>
        <v>TE-Circulação Consultórios</v>
      </c>
      <c r="B419" s="108" t="str">
        <f>IFERROR(__xludf.DUMMYFUNCTION("""COMPUTED_VALUE"""),"Terreo")</f>
        <v>Terreo</v>
      </c>
      <c r="C419" s="108" t="str">
        <f>IFERROR(__xludf.DUMMYFUNCTION("""COMPUTED_VALUE"""),"Circulação Consultórios")</f>
        <v>Circulação Consultórios</v>
      </c>
      <c r="D419" s="108" t="str">
        <f>IFERROR(__xludf.DUMMYFUNCTION("""COMPUTED_VALUE"""),"TE")</f>
        <v>TE</v>
      </c>
      <c r="E419" s="108" t="str">
        <f>IFERROR(__xludf.DUMMYFUNCTION("""COMPUTED_VALUE"""),"A")</f>
        <v>A</v>
      </c>
      <c r="F419" s="108">
        <f>IFERROR(__xludf.DUMMYFUNCTION("""COMPUTED_VALUE"""),60.0)</f>
        <v>60</v>
      </c>
      <c r="G419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77ea1538b30a4b11b4c20e97916faac9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77ea1538b30a4b11b4c20e97916faac9&amp;showComments=1&amp;guid=6882be48-6626-5238-d3df-94e9f0a0019d</v>
      </c>
      <c r="H419" s="108" t="str">
        <f>IFERROR(__xludf.DUMMYFUNCTION("""COMPUTED_VALUE"""),"Circulação / Corredores")</f>
        <v>Circulação / Corredores</v>
      </c>
      <c r="I419" s="108"/>
      <c r="J419" s="108"/>
    </row>
    <row r="420">
      <c r="A420" s="109" t="str">
        <f>IFERROR(__xludf.DUMMYFUNCTION("""COMPUTED_VALUE"""),"TE-Circulação Monta Cargas")</f>
        <v>TE-Circulação Monta Cargas</v>
      </c>
      <c r="B420" s="108" t="str">
        <f>IFERROR(__xludf.DUMMYFUNCTION("""COMPUTED_VALUE"""),"Terreo")</f>
        <v>Terreo</v>
      </c>
      <c r="C420" s="108" t="str">
        <f>IFERROR(__xludf.DUMMYFUNCTION("""COMPUTED_VALUE"""),"Circulação Monta Cargas")</f>
        <v>Circulação Monta Cargas</v>
      </c>
      <c r="D420" s="108" t="str">
        <f>IFERROR(__xludf.DUMMYFUNCTION("""COMPUTED_VALUE"""),"TE")</f>
        <v>TE</v>
      </c>
      <c r="E420" s="108" t="str">
        <f>IFERROR(__xludf.DUMMYFUNCTION("""COMPUTED_VALUE"""),"B")</f>
        <v>B</v>
      </c>
      <c r="F420" s="108">
        <f>IFERROR(__xludf.DUMMYFUNCTION("""COMPUTED_VALUE"""),18.0)</f>
        <v>18</v>
      </c>
      <c r="G420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234e3c3c4fef4c49a76580efa7ab2fa2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234e3c3c4fef4c49a76580efa7ab2fa2&amp;showComments=1&amp;guid=6882be48-6626-5238-d3df-94e9f0a0019d</v>
      </c>
      <c r="H420" s="108" t="str">
        <f>IFERROR(__xludf.DUMMYFUNCTION("""COMPUTED_VALUE"""),"Circulação / Corredores")</f>
        <v>Circulação / Corredores</v>
      </c>
      <c r="I420" s="108"/>
      <c r="J420" s="108"/>
    </row>
    <row r="421">
      <c r="A421" s="108" t="str">
        <f>IFERROR(__xludf.DUMMYFUNCTION("""COMPUTED_VALUE"""),"TE-Circulação Serviço")</f>
        <v>TE-Circulação Serviço</v>
      </c>
      <c r="B421" s="108" t="str">
        <f>IFERROR(__xludf.DUMMYFUNCTION("""COMPUTED_VALUE"""),"Terreo")</f>
        <v>Terreo</v>
      </c>
      <c r="C421" s="108" t="str">
        <f>IFERROR(__xludf.DUMMYFUNCTION("""COMPUTED_VALUE"""),"Circulação Serviço")</f>
        <v>Circulação Serviço</v>
      </c>
      <c r="D421" s="108" t="str">
        <f>IFERROR(__xludf.DUMMYFUNCTION("""COMPUTED_VALUE"""),"TE")</f>
        <v>TE</v>
      </c>
      <c r="E421" s="108" t="str">
        <f>IFERROR(__xludf.DUMMYFUNCTION("""COMPUTED_VALUE"""),"A")</f>
        <v>A</v>
      </c>
      <c r="F421" s="108">
        <f>IFERROR(__xludf.DUMMYFUNCTION("""COMPUTED_VALUE"""),62.0)</f>
        <v>62</v>
      </c>
      <c r="G421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831bae31494e4ee88e35ad7082d74ce2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831bae31494e4ee88e35ad7082d74ce2&amp;showComments=1&amp;guid=6882be48-6626-5238-d3df-94e9f0a0019d</v>
      </c>
      <c r="H421" s="108" t="str">
        <f>IFERROR(__xludf.DUMMYFUNCTION("""COMPUTED_VALUE"""),"Circulação / Corredores")</f>
        <v>Circulação / Corredores</v>
      </c>
      <c r="I421" s="108"/>
      <c r="J421" s="108"/>
    </row>
    <row r="422">
      <c r="A422" s="108" t="str">
        <f>IFERROR(__xludf.DUMMYFUNCTION("""COMPUTED_VALUE"""),"TE-Comando 1")</f>
        <v>TE-Comando 1</v>
      </c>
      <c r="B422" s="108" t="str">
        <f>IFERROR(__xludf.DUMMYFUNCTION("""COMPUTED_VALUE"""),"Terreo")</f>
        <v>Terreo</v>
      </c>
      <c r="C422" s="108" t="str">
        <f>IFERROR(__xludf.DUMMYFUNCTION("""COMPUTED_VALUE"""),"Comando 1")</f>
        <v>Comando 1</v>
      </c>
      <c r="D422" s="108" t="str">
        <f>IFERROR(__xludf.DUMMYFUNCTION("""COMPUTED_VALUE"""),"TE")</f>
        <v>TE</v>
      </c>
      <c r="E422" s="108" t="str">
        <f>IFERROR(__xludf.DUMMYFUNCTION("""COMPUTED_VALUE"""),"A")</f>
        <v>A</v>
      </c>
      <c r="F422" s="108">
        <f>IFERROR(__xludf.DUMMYFUNCTION("""COMPUTED_VALUE"""),63.0)</f>
        <v>63</v>
      </c>
      <c r="G422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db143845eb034c33923780a688135b7d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db143845eb034c33923780a688135b7d&amp;showComments=1&amp;guid=6882be48-6626-5238-d3df-94e9f0a0019d</v>
      </c>
      <c r="H422" s="108" t="str">
        <f>IFERROR(__xludf.DUMMYFUNCTION("""COMPUTED_VALUE"""),"Outros")</f>
        <v>Outros</v>
      </c>
      <c r="I422" s="108"/>
      <c r="J422" s="108"/>
    </row>
    <row r="423">
      <c r="A423" s="108" t="str">
        <f>IFERROR(__xludf.DUMMYFUNCTION("""COMPUTED_VALUE"""),"TE-Comando 2")</f>
        <v>TE-Comando 2</v>
      </c>
      <c r="B423" s="108" t="str">
        <f>IFERROR(__xludf.DUMMYFUNCTION("""COMPUTED_VALUE"""),"Terreo")</f>
        <v>Terreo</v>
      </c>
      <c r="C423" s="108" t="str">
        <f>IFERROR(__xludf.DUMMYFUNCTION("""COMPUTED_VALUE"""),"Comando 2")</f>
        <v>Comando 2</v>
      </c>
      <c r="D423" s="108" t="str">
        <f>IFERROR(__xludf.DUMMYFUNCTION("""COMPUTED_VALUE"""),"TE")</f>
        <v>TE</v>
      </c>
      <c r="E423" s="108" t="str">
        <f>IFERROR(__xludf.DUMMYFUNCTION("""COMPUTED_VALUE"""),"A")</f>
        <v>A</v>
      </c>
      <c r="F423" s="108">
        <f>IFERROR(__xludf.DUMMYFUNCTION("""COMPUTED_VALUE"""),65.0)</f>
        <v>65</v>
      </c>
      <c r="G423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d387ecaa733f4f1893a11fc28e33299b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d387ecaa733f4f1893a11fc28e33299b&amp;showComments=1&amp;guid=6882be48-6626-5238-d3df-94e9f0a0019d</v>
      </c>
      <c r="H423" s="108" t="str">
        <f>IFERROR(__xludf.DUMMYFUNCTION("""COMPUTED_VALUE"""),"Outros")</f>
        <v>Outros</v>
      </c>
      <c r="I423" s="108"/>
      <c r="J423" s="108"/>
    </row>
    <row r="424">
      <c r="A424" s="108" t="str">
        <f>IFERROR(__xludf.DUMMYFUNCTION("""COMPUTED_VALUE"""),"TE-Comando 3 e 4")</f>
        <v>TE-Comando 3 e 4</v>
      </c>
      <c r="B424" s="108" t="str">
        <f>IFERROR(__xludf.DUMMYFUNCTION("""COMPUTED_VALUE"""),"Terreo")</f>
        <v>Terreo</v>
      </c>
      <c r="C424" s="108" t="str">
        <f>IFERROR(__xludf.DUMMYFUNCTION("""COMPUTED_VALUE"""),"Comando 3 e 4")</f>
        <v>Comando 3 e 4</v>
      </c>
      <c r="D424" s="108" t="str">
        <f>IFERROR(__xludf.DUMMYFUNCTION("""COMPUTED_VALUE"""),"TE")</f>
        <v>TE</v>
      </c>
      <c r="E424" s="108" t="str">
        <f>IFERROR(__xludf.DUMMYFUNCTION("""COMPUTED_VALUE"""),"A")</f>
        <v>A</v>
      </c>
      <c r="F424" s="108">
        <f>IFERROR(__xludf.DUMMYFUNCTION("""COMPUTED_VALUE"""),66.0)</f>
        <v>66</v>
      </c>
      <c r="G424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d7435de1df544f859b1f369935e82cd1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d7435de1df544f859b1f369935e82cd1&amp;showComments=1&amp;guid=6882be48-6626-5238-d3df-94e9f0a0019d</v>
      </c>
      <c r="H424" s="108" t="str">
        <f>IFERROR(__xludf.DUMMYFUNCTION("""COMPUTED_VALUE"""),"Outros")</f>
        <v>Outros</v>
      </c>
      <c r="I424" s="108"/>
      <c r="J424" s="108"/>
    </row>
    <row r="425">
      <c r="A425" s="109" t="str">
        <f>IFERROR(__xludf.DUMMYFUNCTION("""COMPUTED_VALUE"""),"TE-Consultório Indiferenciado 1")</f>
        <v>TE-Consultório Indiferenciado 1</v>
      </c>
      <c r="B425" s="108" t="str">
        <f>IFERROR(__xludf.DUMMYFUNCTION("""COMPUTED_VALUE"""),"Terreo")</f>
        <v>Terreo</v>
      </c>
      <c r="C425" s="108" t="str">
        <f>IFERROR(__xludf.DUMMYFUNCTION("""COMPUTED_VALUE"""),"Consultório Indiferenciado 1")</f>
        <v>Consultório Indiferenciado 1</v>
      </c>
      <c r="D425" s="108" t="str">
        <f>IFERROR(__xludf.DUMMYFUNCTION("""COMPUTED_VALUE"""),"TE")</f>
        <v>TE</v>
      </c>
      <c r="E425" s="108" t="str">
        <f>IFERROR(__xludf.DUMMYFUNCTION("""COMPUTED_VALUE"""),"A")</f>
        <v>A</v>
      </c>
      <c r="F425" s="108">
        <f>IFERROR(__xludf.DUMMYFUNCTION("""COMPUTED_VALUE"""),21.0)</f>
        <v>21</v>
      </c>
      <c r="G425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</v>
      </c>
      <c r="H425" s="108" t="str">
        <f>IFERROR(__xludf.DUMMYFUNCTION("""COMPUTED_VALUE"""),"Consultório")</f>
        <v>Consultório</v>
      </c>
      <c r="I425" s="108"/>
      <c r="J425" s="108"/>
    </row>
    <row r="426">
      <c r="A426" s="109" t="str">
        <f>IFERROR(__xludf.DUMMYFUNCTION("""COMPUTED_VALUE"""),"TE-Consultório Indiferenciado 2")</f>
        <v>TE-Consultório Indiferenciado 2</v>
      </c>
      <c r="B426" s="108" t="str">
        <f>IFERROR(__xludf.DUMMYFUNCTION("""COMPUTED_VALUE"""),"Terreo")</f>
        <v>Terreo</v>
      </c>
      <c r="C426" s="108" t="str">
        <f>IFERROR(__xludf.DUMMYFUNCTION("""COMPUTED_VALUE"""),"Consultório Indiferenciado 2")</f>
        <v>Consultório Indiferenciado 2</v>
      </c>
      <c r="D426" s="108" t="str">
        <f>IFERROR(__xludf.DUMMYFUNCTION("""COMPUTED_VALUE"""),"TE")</f>
        <v>TE</v>
      </c>
      <c r="E426" s="108" t="str">
        <f>IFERROR(__xludf.DUMMYFUNCTION("""COMPUTED_VALUE"""),"A")</f>
        <v>A</v>
      </c>
      <c r="F426" s="108">
        <f>IFERROR(__xludf.DUMMYFUNCTION("""COMPUTED_VALUE"""),24.0)</f>
        <v>24</v>
      </c>
      <c r="G426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cf7fb4a18e0d4798b219eb450f2639a9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cf7fb4a18e0d4798b219eb450f2639a9&amp;showComments=1&amp;guid=6882be48-6626-5238-d3df-94e9f0a0019d</v>
      </c>
      <c r="H426" s="108" t="str">
        <f>IFERROR(__xludf.DUMMYFUNCTION("""COMPUTED_VALUE"""),"Consultório")</f>
        <v>Consultório</v>
      </c>
      <c r="I426" s="108"/>
      <c r="J426" s="108"/>
    </row>
    <row r="427">
      <c r="A427" s="109" t="str">
        <f>IFERROR(__xludf.DUMMYFUNCTION("""COMPUTED_VALUE"""),"TE-Consultório Indiferenciado 3")</f>
        <v>TE-Consultório Indiferenciado 3</v>
      </c>
      <c r="B427" s="108" t="str">
        <f>IFERROR(__xludf.DUMMYFUNCTION("""COMPUTED_VALUE"""),"Terreo")</f>
        <v>Terreo</v>
      </c>
      <c r="C427" s="108" t="str">
        <f>IFERROR(__xludf.DUMMYFUNCTION("""COMPUTED_VALUE"""),"Consultório Indiferenciado 3")</f>
        <v>Consultório Indiferenciado 3</v>
      </c>
      <c r="D427" s="108" t="str">
        <f>IFERROR(__xludf.DUMMYFUNCTION("""COMPUTED_VALUE"""),"TE")</f>
        <v>TE</v>
      </c>
      <c r="E427" s="108" t="str">
        <f>IFERROR(__xludf.DUMMYFUNCTION("""COMPUTED_VALUE"""),"A")</f>
        <v>A</v>
      </c>
      <c r="F427" s="108">
        <f>IFERROR(__xludf.DUMMYFUNCTION("""COMPUTED_VALUE"""),29.0)</f>
        <v>29</v>
      </c>
      <c r="G427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10dad5de2bce49a2bb6acdabf2cb8a01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10dad5de2bce49a2bb6acdabf2cb8a01&amp;showComments=1&amp;guid=6882be48-6626-5238-d3df-94e9f0a0019d</v>
      </c>
      <c r="H427" s="108" t="str">
        <f>IFERROR(__xludf.DUMMYFUNCTION("""COMPUTED_VALUE"""),"Consultório")</f>
        <v>Consultório</v>
      </c>
      <c r="I427" s="108"/>
      <c r="J427" s="108"/>
    </row>
    <row r="428">
      <c r="A428" s="109" t="str">
        <f>IFERROR(__xludf.DUMMYFUNCTION("""COMPUTED_VALUE"""),"TE-Consultório Indiferenciado 4")</f>
        <v>TE-Consultório Indiferenciado 4</v>
      </c>
      <c r="B428" s="108" t="str">
        <f>IFERROR(__xludf.DUMMYFUNCTION("""COMPUTED_VALUE"""),"Terreo")</f>
        <v>Terreo</v>
      </c>
      <c r="C428" s="108" t="str">
        <f>IFERROR(__xludf.DUMMYFUNCTION("""COMPUTED_VALUE"""),"Consultório Indiferenciado 4")</f>
        <v>Consultório Indiferenciado 4</v>
      </c>
      <c r="D428" s="108" t="str">
        <f>IFERROR(__xludf.DUMMYFUNCTION("""COMPUTED_VALUE"""),"TE")</f>
        <v>TE</v>
      </c>
      <c r="E428" s="108" t="str">
        <f>IFERROR(__xludf.DUMMYFUNCTION("""COMPUTED_VALUE"""),"A")</f>
        <v>A</v>
      </c>
      <c r="F428" s="108">
        <f>IFERROR(__xludf.DUMMYFUNCTION("""COMPUTED_VALUE"""),30.0)</f>
        <v>30</v>
      </c>
      <c r="G428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2a961936197d45c1b9393edeea2dea08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2a961936197d45c1b9393edeea2dea08&amp;showComments=1&amp;guid=6882be48-6626-5238-d3df-94e9f0a0019d</v>
      </c>
      <c r="H428" s="108" t="str">
        <f>IFERROR(__xludf.DUMMYFUNCTION("""COMPUTED_VALUE"""),"Consultório")</f>
        <v>Consultório</v>
      </c>
      <c r="I428" s="108"/>
      <c r="J428" s="108"/>
    </row>
    <row r="429">
      <c r="A429" s="109" t="str">
        <f>IFERROR(__xludf.DUMMYFUNCTION("""COMPUTED_VALUE"""),"TE-Consultório Indiferenciado 5")</f>
        <v>TE-Consultório Indiferenciado 5</v>
      </c>
      <c r="B429" s="108" t="str">
        <f>IFERROR(__xludf.DUMMYFUNCTION("""COMPUTED_VALUE"""),"Terreo")</f>
        <v>Terreo</v>
      </c>
      <c r="C429" s="108" t="str">
        <f>IFERROR(__xludf.DUMMYFUNCTION("""COMPUTED_VALUE"""),"Consultório Indiferenciado 5")</f>
        <v>Consultório Indiferenciado 5</v>
      </c>
      <c r="D429" s="108" t="str">
        <f>IFERROR(__xludf.DUMMYFUNCTION("""COMPUTED_VALUE"""),"TE")</f>
        <v>TE</v>
      </c>
      <c r="E429" s="108" t="str">
        <f>IFERROR(__xludf.DUMMYFUNCTION("""COMPUTED_VALUE"""),"A")</f>
        <v>A</v>
      </c>
      <c r="F429" s="108">
        <f>IFERROR(__xludf.DUMMYFUNCTION("""COMPUTED_VALUE"""),31.0)</f>
        <v>31</v>
      </c>
      <c r="G429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1e6aeffaad9842b9bf2faa464da1c9b4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1e6aeffaad9842b9bf2faa464da1c9b4&amp;showComments=1&amp;guid=6882be48-6626-5238-d3df-94e9f0a0019d</v>
      </c>
      <c r="H429" s="108" t="str">
        <f>IFERROR(__xludf.DUMMYFUNCTION("""COMPUTED_VALUE"""),"Consultório")</f>
        <v>Consultório</v>
      </c>
      <c r="I429" s="108"/>
      <c r="J429" s="108"/>
    </row>
    <row r="430">
      <c r="A430" s="109" t="str">
        <f>IFERROR(__xludf.DUMMYFUNCTION("""COMPUTED_VALUE"""),"TE-Copa")</f>
        <v>TE-Copa</v>
      </c>
      <c r="B430" s="108" t="str">
        <f>IFERROR(__xludf.DUMMYFUNCTION("""COMPUTED_VALUE"""),"Terreo")</f>
        <v>Terreo</v>
      </c>
      <c r="C430" s="108" t="str">
        <f>IFERROR(__xludf.DUMMYFUNCTION("""COMPUTED_VALUE"""),"Copa")</f>
        <v>Copa</v>
      </c>
      <c r="D430" s="108" t="str">
        <f>IFERROR(__xludf.DUMMYFUNCTION("""COMPUTED_VALUE"""),"TE")</f>
        <v>TE</v>
      </c>
      <c r="E430" s="108" t="str">
        <f>IFERROR(__xludf.DUMMYFUNCTION("""COMPUTED_VALUE"""),"B")</f>
        <v>B</v>
      </c>
      <c r="F430" s="108">
        <f>IFERROR(__xludf.DUMMYFUNCTION("""COMPUTED_VALUE"""),15.0)</f>
        <v>15</v>
      </c>
      <c r="G430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f835182379714839ba456bdb812d8e83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f835182379714839ba456bdb812d8e83&amp;showComments=1&amp;guid=6882be48-6626-5238-d3df-94e9f0a0019d</v>
      </c>
      <c r="H430" s="108" t="str">
        <f>IFERROR(__xludf.DUMMYFUNCTION("""COMPUTED_VALUE"""),"Copa")</f>
        <v>Copa</v>
      </c>
      <c r="I430" s="108"/>
      <c r="J430" s="108"/>
    </row>
    <row r="431">
      <c r="A431" s="109" t="str">
        <f>IFERROR(__xludf.DUMMYFUNCTION("""COMPUTED_VALUE"""),"TE-Depósito")</f>
        <v>TE-Depósito</v>
      </c>
      <c r="B431" s="108" t="str">
        <f>IFERROR(__xludf.DUMMYFUNCTION("""COMPUTED_VALUE"""),"Terreo")</f>
        <v>Terreo</v>
      </c>
      <c r="C431" s="108" t="str">
        <f>IFERROR(__xludf.DUMMYFUNCTION("""COMPUTED_VALUE"""),"Depósito")</f>
        <v>Depósito</v>
      </c>
      <c r="D431" s="108" t="str">
        <f>IFERROR(__xludf.DUMMYFUNCTION("""COMPUTED_VALUE"""),"TE")</f>
        <v>TE</v>
      </c>
      <c r="E431" s="108" t="str">
        <f>IFERROR(__xludf.DUMMYFUNCTION("""COMPUTED_VALUE"""),"A")</f>
        <v>A</v>
      </c>
      <c r="F431" s="108">
        <f>IFERROR(__xludf.DUMMYFUNCTION("""COMPUTED_VALUE"""),35.0)</f>
        <v>35</v>
      </c>
      <c r="G431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b1508cd5226e40c2951cda4459c02f36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b1508cd5226e40c2951cda4459c02f36&amp;showComments=1&amp;guid=6882be48-6626-5238-d3df-94e9f0a0019d</v>
      </c>
      <c r="H431" s="108" t="str">
        <f>IFERROR(__xludf.DUMMYFUNCTION("""COMPUTED_VALUE"""),"Depósito")</f>
        <v>Depósito</v>
      </c>
      <c r="I431" s="108"/>
      <c r="J431" s="108"/>
    </row>
    <row r="432">
      <c r="A432" s="109" t="str">
        <f>IFERROR(__xludf.DUMMYFUNCTION("""COMPUTED_VALUE"""),"TE-Depósito de Materiais e Equipamentos")</f>
        <v>TE-Depósito de Materiais e Equipamentos</v>
      </c>
      <c r="B432" s="108" t="str">
        <f>IFERROR(__xludf.DUMMYFUNCTION("""COMPUTED_VALUE"""),"Terreo")</f>
        <v>Terreo</v>
      </c>
      <c r="C432" s="108" t="str">
        <f>IFERROR(__xludf.DUMMYFUNCTION("""COMPUTED_VALUE"""),"Depósito de Materiais e Equipamentos")</f>
        <v>Depósito de Materiais e Equipamentos</v>
      </c>
      <c r="D432" s="108" t="str">
        <f>IFERROR(__xludf.DUMMYFUNCTION("""COMPUTED_VALUE"""),"TE")</f>
        <v>TE</v>
      </c>
      <c r="E432" s="108" t="str">
        <f>IFERROR(__xludf.DUMMYFUNCTION("""COMPUTED_VALUE"""),"A")</f>
        <v>A</v>
      </c>
      <c r="F432" s="108">
        <f>IFERROR(__xludf.DUMMYFUNCTION("""COMPUTED_VALUE"""),38.0)</f>
        <v>38</v>
      </c>
      <c r="G432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2d0740d691814e848cf4ef1c4dc34dbd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2d0740d691814e848cf4ef1c4dc34dbd&amp;showComments=1&amp;guid=6882be48-6626-5238-d3df-94e9f0a0019d</v>
      </c>
      <c r="H432" s="108" t="str">
        <f>IFERROR(__xludf.DUMMYFUNCTION("""COMPUTED_VALUE"""),"Depósito")</f>
        <v>Depósito</v>
      </c>
      <c r="I432" s="108"/>
      <c r="J432" s="108"/>
    </row>
    <row r="433">
      <c r="A433" s="109" t="str">
        <f>IFERROR(__xludf.DUMMYFUNCTION("""COMPUTED_VALUE"""),"TE-Depósito Temporário Resíduos")</f>
        <v>TE-Depósito Temporário Resíduos</v>
      </c>
      <c r="B433" s="108" t="str">
        <f>IFERROR(__xludf.DUMMYFUNCTION("""COMPUTED_VALUE"""),"Terreo")</f>
        <v>Terreo</v>
      </c>
      <c r="C433" s="108" t="str">
        <f>IFERROR(__xludf.DUMMYFUNCTION("""COMPUTED_VALUE"""),"Depósito Temporário Resíduos")</f>
        <v>Depósito Temporário Resíduos</v>
      </c>
      <c r="D433" s="108" t="str">
        <f>IFERROR(__xludf.DUMMYFUNCTION("""COMPUTED_VALUE"""),"TE")</f>
        <v>TE</v>
      </c>
      <c r="E433" s="108" t="str">
        <f>IFERROR(__xludf.DUMMYFUNCTION("""COMPUTED_VALUE"""),"B")</f>
        <v>B</v>
      </c>
      <c r="F433" s="108">
        <f>IFERROR(__xludf.DUMMYFUNCTION("""COMPUTED_VALUE"""),16.0)</f>
        <v>16</v>
      </c>
      <c r="G433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8dea3c40ec1d4b57a96bd80392e46c91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8dea3c40ec1d4b57a96bd80392e46c91&amp;showComments=1&amp;guid=6882be48-6626-5238-d3df-94e9f0a0019d</v>
      </c>
      <c r="H433" s="108" t="str">
        <f>IFERROR(__xludf.DUMMYFUNCTION("""COMPUTED_VALUE"""),"Depósito")</f>
        <v>Depósito</v>
      </c>
      <c r="I433" s="108"/>
      <c r="J433" s="108"/>
    </row>
    <row r="434">
      <c r="A434" s="109" t="str">
        <f>IFERROR(__xludf.DUMMYFUNCTION("""COMPUTED_VALUE"""),"TE-DML")</f>
        <v>TE-DML</v>
      </c>
      <c r="B434" s="108" t="str">
        <f>IFERROR(__xludf.DUMMYFUNCTION("""COMPUTED_VALUE"""),"Terreo")</f>
        <v>Terreo</v>
      </c>
      <c r="C434" s="108" t="str">
        <f>IFERROR(__xludf.DUMMYFUNCTION("""COMPUTED_VALUE"""),"DML")</f>
        <v>DML</v>
      </c>
      <c r="D434" s="108" t="str">
        <f>IFERROR(__xludf.DUMMYFUNCTION("""COMPUTED_VALUE"""),"TE")</f>
        <v>TE</v>
      </c>
      <c r="E434" s="108" t="str">
        <f>IFERROR(__xludf.DUMMYFUNCTION("""COMPUTED_VALUE"""),"A")</f>
        <v>A</v>
      </c>
      <c r="F434" s="108">
        <f>IFERROR(__xludf.DUMMYFUNCTION("""COMPUTED_VALUE"""),48.0)</f>
        <v>48</v>
      </c>
      <c r="G434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7909f562cb1f4675b318cb169c59a402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7909f562cb1f4675b318cb169c59a402&amp;showComments=1&amp;guid=6882be48-6626-5238-d3df-94e9f0a0019d</v>
      </c>
      <c r="H434" s="108" t="str">
        <f>IFERROR(__xludf.DUMMYFUNCTION("""COMPUTED_VALUE"""),"Depósito")</f>
        <v>Depósito</v>
      </c>
      <c r="I434" s="108"/>
      <c r="J434" s="108"/>
    </row>
    <row r="435">
      <c r="A435" s="109" t="str">
        <f>IFERROR(__xludf.DUMMYFUNCTION("""COMPUTED_VALUE"""),"TE-Fraldário")</f>
        <v>TE-Fraldário</v>
      </c>
      <c r="B435" s="108" t="str">
        <f>IFERROR(__xludf.DUMMYFUNCTION("""COMPUTED_VALUE"""),"Terreo")</f>
        <v>Terreo</v>
      </c>
      <c r="C435" s="108" t="str">
        <f>IFERROR(__xludf.DUMMYFUNCTION("""COMPUTED_VALUE"""),"Fraldário")</f>
        <v>Fraldário</v>
      </c>
      <c r="D435" s="108" t="str">
        <f>IFERROR(__xludf.DUMMYFUNCTION("""COMPUTED_VALUE"""),"TE")</f>
        <v>TE</v>
      </c>
      <c r="E435" s="108" t="str">
        <f>IFERROR(__xludf.DUMMYFUNCTION("""COMPUTED_VALUE"""),"A")</f>
        <v>A</v>
      </c>
      <c r="F435" s="108">
        <f>IFERROR(__xludf.DUMMYFUNCTION("""COMPUTED_VALUE"""),12.0)</f>
        <v>12</v>
      </c>
      <c r="G435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showComments=1&amp;guid=6882b"&amp;"e48-6626-5238-d3df-94e9f0a0019d&amp;commentId=urn:adsk.comments:social.comment:555d9c9c84be4d0a8183ca6ebb90d776")</f>
        <v>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&amp;commentId=urn:adsk.comments:social.comment:555d9c9c84be4d0a8183ca6ebb90d776</v>
      </c>
      <c r="H435" s="108" t="str">
        <f>IFERROR(__xludf.DUMMYFUNCTION("""COMPUTED_VALUE"""),"Sanitário")</f>
        <v>Sanitário</v>
      </c>
      <c r="I435" s="108"/>
      <c r="J435" s="108"/>
    </row>
    <row r="436">
      <c r="A436" s="109" t="str">
        <f>IFERROR(__xludf.DUMMYFUNCTION("""COMPUTED_VALUE"""),"TE-Hall Acesso")</f>
        <v>TE-Hall Acesso</v>
      </c>
      <c r="B436" s="108" t="str">
        <f>IFERROR(__xludf.DUMMYFUNCTION("""COMPUTED_VALUE"""),"Terreo")</f>
        <v>Terreo</v>
      </c>
      <c r="C436" s="108" t="str">
        <f>IFERROR(__xludf.DUMMYFUNCTION("""COMPUTED_VALUE"""),"Hall Acesso")</f>
        <v>Hall Acesso</v>
      </c>
      <c r="D436" s="108" t="str">
        <f>IFERROR(__xludf.DUMMYFUNCTION("""COMPUTED_VALUE"""),"TE")</f>
        <v>TE</v>
      </c>
      <c r="E436" s="108" t="str">
        <f>IFERROR(__xludf.DUMMYFUNCTION("""COMPUTED_VALUE"""),"A")</f>
        <v>A</v>
      </c>
      <c r="F436" s="108">
        <f>IFERROR(__xludf.DUMMYFUNCTION("""COMPUTED_VALUE"""),34.0)</f>
        <v>34</v>
      </c>
      <c r="G436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f41c8facbd6944ce8fe74e5afc8c180d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f41c8facbd6944ce8fe74e5afc8c180d&amp;showComments=1&amp;guid=6882be48-6626-5238-d3df-94e9f0a0019d</v>
      </c>
      <c r="H436" s="108" t="str">
        <f>IFERROR(__xludf.DUMMYFUNCTION("""COMPUTED_VALUE"""),"Hall")</f>
        <v>Hall</v>
      </c>
      <c r="I436" s="108"/>
      <c r="J436" s="108"/>
    </row>
    <row r="437">
      <c r="A437" s="109" t="str">
        <f>IFERROR(__xludf.DUMMYFUNCTION("""COMPUTED_VALUE"""),"TE-Hall Elevador Emergência Setor A")</f>
        <v>TE-Hall Elevador Emergência Setor A</v>
      </c>
      <c r="B437" s="108" t="str">
        <f>IFERROR(__xludf.DUMMYFUNCTION("""COMPUTED_VALUE"""),"Terreo")</f>
        <v>Terreo</v>
      </c>
      <c r="C437" s="108" t="str">
        <f>IFERROR(__xludf.DUMMYFUNCTION("""COMPUTED_VALUE"""),"Hall Elevador Emergência Setor A")</f>
        <v>Hall Elevador Emergência Setor A</v>
      </c>
      <c r="D437" s="108" t="str">
        <f>IFERROR(__xludf.DUMMYFUNCTION("""COMPUTED_VALUE"""),"TE")</f>
        <v>TE</v>
      </c>
      <c r="E437" s="108" t="str">
        <f>IFERROR(__xludf.DUMMYFUNCTION("""COMPUTED_VALUE"""),"A")</f>
        <v>A</v>
      </c>
      <c r="F437" s="108">
        <f>IFERROR(__xludf.DUMMYFUNCTION("""COMPUTED_VALUE"""),67.0)</f>
        <v>67</v>
      </c>
      <c r="G437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2ba336792f8c45c0a9e842764106df16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2ba336792f8c45c0a9e842764106df16&amp;showComments=1&amp;guid=6882be48-6626-5238-d3df-94e9f0a0019d</v>
      </c>
      <c r="H437" s="108" t="str">
        <f>IFERROR(__xludf.DUMMYFUNCTION("""COMPUTED_VALUE"""),"Circulação / Corredores")</f>
        <v>Circulação / Corredores</v>
      </c>
      <c r="I437" s="108"/>
      <c r="J437" s="108"/>
    </row>
    <row r="438">
      <c r="A438" s="109" t="str">
        <f>IFERROR(__xludf.DUMMYFUNCTION("""COMPUTED_VALUE"""),"TE-Hall Elevador Emergência Setor B")</f>
        <v>TE-Hall Elevador Emergência Setor B</v>
      </c>
      <c r="B438" s="108" t="str">
        <f>IFERROR(__xludf.DUMMYFUNCTION("""COMPUTED_VALUE"""),"Terreo")</f>
        <v>Terreo</v>
      </c>
      <c r="C438" s="108" t="str">
        <f>IFERROR(__xludf.DUMMYFUNCTION("""COMPUTED_VALUE"""),"Hall Elevador Emergência Setor B")</f>
        <v>Hall Elevador Emergência Setor B</v>
      </c>
      <c r="D438" s="108" t="str">
        <f>IFERROR(__xludf.DUMMYFUNCTION("""COMPUTED_VALUE"""),"TE")</f>
        <v>TE</v>
      </c>
      <c r="E438" s="108" t="str">
        <f>IFERROR(__xludf.DUMMYFUNCTION("""COMPUTED_VALUE"""),"B")</f>
        <v>B</v>
      </c>
      <c r="F438" s="108">
        <f>IFERROR(__xludf.DUMMYFUNCTION("""COMPUTED_VALUE"""),69.0)</f>
        <v>69</v>
      </c>
      <c r="G438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86ecdc576021479f9280b10eca543b95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86ecdc576021479f9280b10eca543b95&amp;showComments=1&amp;guid=6882be48-6626-5238-d3df-94e9f0a0019d</v>
      </c>
      <c r="H438" s="108" t="str">
        <f>IFERROR(__xludf.DUMMYFUNCTION("""COMPUTED_VALUE"""),"Circulação / Corredores")</f>
        <v>Circulação / Corredores</v>
      </c>
      <c r="I438" s="108"/>
      <c r="J438" s="108"/>
    </row>
    <row r="439">
      <c r="A439" s="109" t="str">
        <f>IFERROR(__xludf.DUMMYFUNCTION("""COMPUTED_VALUE"""),"TE-Hall Elevador Público")</f>
        <v>TE-Hall Elevador Público</v>
      </c>
      <c r="B439" s="108" t="str">
        <f>IFERROR(__xludf.DUMMYFUNCTION("""COMPUTED_VALUE"""),"Terreo")</f>
        <v>Terreo</v>
      </c>
      <c r="C439" s="108" t="str">
        <f>IFERROR(__xludf.DUMMYFUNCTION("""COMPUTED_VALUE"""),"Hall Elevador Público")</f>
        <v>Hall Elevador Público</v>
      </c>
      <c r="D439" s="108" t="str">
        <f>IFERROR(__xludf.DUMMYFUNCTION("""COMPUTED_VALUE"""),"TE")</f>
        <v>TE</v>
      </c>
      <c r="E439" s="108" t="str">
        <f>IFERROR(__xludf.DUMMYFUNCTION("""COMPUTED_VALUE"""),"A")</f>
        <v>A</v>
      </c>
      <c r="F439" s="108">
        <f>IFERROR(__xludf.DUMMYFUNCTION("""COMPUTED_VALUE"""),68.0)</f>
        <v>68</v>
      </c>
      <c r="G439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c671f14a0a764ae3931ba4b764eb0bfe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c671f14a0a764ae3931ba4b764eb0bfe&amp;showComments=1&amp;guid=6882be48-6626-5238-d3df-94e9f0a0019d</v>
      </c>
      <c r="H439" s="108" t="str">
        <f>IFERROR(__xludf.DUMMYFUNCTION("""COMPUTED_VALUE"""),"Circulação / Corredores")</f>
        <v>Circulação / Corredores</v>
      </c>
      <c r="I439" s="108"/>
      <c r="J439" s="108"/>
    </row>
    <row r="440">
      <c r="A440" s="109" t="str">
        <f>IFERROR(__xludf.DUMMYFUNCTION("""COMPUTED_VALUE"""),"TE-Hall Elevador Serviço")</f>
        <v>TE-Hall Elevador Serviço</v>
      </c>
      <c r="B440" s="108" t="str">
        <f>IFERROR(__xludf.DUMMYFUNCTION("""COMPUTED_VALUE"""),"Terreo")</f>
        <v>Terreo</v>
      </c>
      <c r="C440" s="108" t="str">
        <f>IFERROR(__xludf.DUMMYFUNCTION("""COMPUTED_VALUE"""),"Hall Elevador Serviço")</f>
        <v>Hall Elevador Serviço</v>
      </c>
      <c r="D440" s="108" t="str">
        <f>IFERROR(__xludf.DUMMYFUNCTION("""COMPUTED_VALUE"""),"TE")</f>
        <v>TE</v>
      </c>
      <c r="E440" s="108" t="str">
        <f>IFERROR(__xludf.DUMMYFUNCTION("""COMPUTED_VALUE"""),"B")</f>
        <v>B</v>
      </c>
      <c r="F440" s="108">
        <f>IFERROR(__xludf.DUMMYFUNCTION("""COMPUTED_VALUE"""),70.0)</f>
        <v>70</v>
      </c>
      <c r="G440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da4e49ce1f41495b8db272d155470f3d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da4e49ce1f41495b8db272d155470f3d&amp;showComments=1&amp;guid=6882be48-6626-5238-d3df-94e9f0a0019d</v>
      </c>
      <c r="H440" s="108" t="str">
        <f>IFERROR(__xludf.DUMMYFUNCTION("""COMPUTED_VALUE"""),"Circulação / Corredores")</f>
        <v>Circulação / Corredores</v>
      </c>
      <c r="I440" s="108"/>
      <c r="J440" s="108"/>
    </row>
    <row r="441">
      <c r="A441" s="109" t="str">
        <f>IFERROR(__xludf.DUMMYFUNCTION("""COMPUTED_VALUE"""),"TE-Instalações")</f>
        <v>TE-Instalações</v>
      </c>
      <c r="B441" s="108" t="str">
        <f>IFERROR(__xludf.DUMMYFUNCTION("""COMPUTED_VALUE"""),"Terreo")</f>
        <v>Terreo</v>
      </c>
      <c r="C441" s="108" t="str">
        <f>IFERROR(__xludf.DUMMYFUNCTION("""COMPUTED_VALUE"""),"Instalações")</f>
        <v>Instalações</v>
      </c>
      <c r="D441" s="108" t="str">
        <f>IFERROR(__xludf.DUMMYFUNCTION("""COMPUTED_VALUE"""),"TE")</f>
        <v>TE</v>
      </c>
      <c r="E441" s="108" t="str">
        <f>IFERROR(__xludf.DUMMYFUNCTION("""COMPUTED_VALUE"""),"B")</f>
        <v>B</v>
      </c>
      <c r="F441" s="108">
        <f>IFERROR(__xludf.DUMMYFUNCTION("""COMPUTED_VALUE"""),64.0)</f>
        <v>64</v>
      </c>
      <c r="G441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</v>
      </c>
      <c r="H441" s="108" t="str">
        <f>IFERROR(__xludf.DUMMYFUNCTION("""COMPUTED_VALUE"""),"Outros")</f>
        <v>Outros</v>
      </c>
      <c r="I441" s="108"/>
      <c r="J441" s="108"/>
    </row>
    <row r="442">
      <c r="A442" s="109" t="str">
        <f>IFERROR(__xludf.DUMMYFUNCTION("""COMPUTED_VALUE"""),"TE-Posto de Enfermagem")</f>
        <v>TE-Posto de Enfermagem</v>
      </c>
      <c r="B442" s="108" t="str">
        <f>IFERROR(__xludf.DUMMYFUNCTION("""COMPUTED_VALUE"""),"Terreo")</f>
        <v>Terreo</v>
      </c>
      <c r="C442" s="108" t="str">
        <f>IFERROR(__xludf.DUMMYFUNCTION("""COMPUTED_VALUE"""),"Posto de Enfermagem")</f>
        <v>Posto de Enfermagem</v>
      </c>
      <c r="D442" s="108" t="str">
        <f>IFERROR(__xludf.DUMMYFUNCTION("""COMPUTED_VALUE"""),"TE")</f>
        <v>TE</v>
      </c>
      <c r="E442" s="108" t="str">
        <f>IFERROR(__xludf.DUMMYFUNCTION("""COMPUTED_VALUE"""),"A")</f>
        <v>A</v>
      </c>
      <c r="F442" s="108">
        <f>IFERROR(__xludf.DUMMYFUNCTION("""COMPUTED_VALUE"""),49.0)</f>
        <v>49</v>
      </c>
      <c r="G442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2f922238482042509dc3d2921626799a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2f922238482042509dc3d2921626799a&amp;showComments=1&amp;guid=6882be48-6626-5238-d3df-94e9f0a0019d</v>
      </c>
      <c r="H442" s="108" t="str">
        <f>IFERROR(__xludf.DUMMYFUNCTION("""COMPUTED_VALUE"""),"Posto Enfermagem")</f>
        <v>Posto Enfermagem</v>
      </c>
      <c r="I442" s="108"/>
      <c r="J442" s="108"/>
    </row>
    <row r="443">
      <c r="A443" s="109" t="str">
        <f>IFERROR(__xludf.DUMMYFUNCTION("""COMPUTED_VALUE"""),"TE-Recepção Geral Identificação")</f>
        <v>TE-Recepção Geral Identificação</v>
      </c>
      <c r="B443" s="108" t="str">
        <f>IFERROR(__xludf.DUMMYFUNCTION("""COMPUTED_VALUE"""),"Terreo")</f>
        <v>Terreo</v>
      </c>
      <c r="C443" s="108" t="str">
        <f>IFERROR(__xludf.DUMMYFUNCTION("""COMPUTED_VALUE"""),"Recepção Geral Identificação")</f>
        <v>Recepção Geral Identificação</v>
      </c>
      <c r="D443" s="108" t="str">
        <f>IFERROR(__xludf.DUMMYFUNCTION("""COMPUTED_VALUE"""),"TE")</f>
        <v>TE</v>
      </c>
      <c r="E443" s="108" t="str">
        <f>IFERROR(__xludf.DUMMYFUNCTION("""COMPUTED_VALUE"""),"A")</f>
        <v>A</v>
      </c>
      <c r="F443" s="108">
        <f>IFERROR(__xludf.DUMMYFUNCTION("""COMPUTED_VALUE"""),33.0)</f>
        <v>33</v>
      </c>
      <c r="G443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5d64aa2f9f1d4b699d77bb45f631e8ed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5d64aa2f9f1d4b699d77bb45f631e8ed&amp;showComments=1&amp;guid=6882be48-6626-5238-d3df-94e9f0a0019d</v>
      </c>
      <c r="H443" s="108" t="str">
        <f>IFERROR(__xludf.DUMMYFUNCTION("""COMPUTED_VALUE"""),"Recepção")</f>
        <v>Recepção</v>
      </c>
      <c r="I443" s="108"/>
      <c r="J443" s="108"/>
    </row>
    <row r="444">
      <c r="A444" s="109" t="str">
        <f>IFERROR(__xludf.DUMMYFUNCTION("""COMPUTED_VALUE"""),"TE-Rouparia")</f>
        <v>TE-Rouparia</v>
      </c>
      <c r="B444" s="108" t="str">
        <f>IFERROR(__xludf.DUMMYFUNCTION("""COMPUTED_VALUE"""),"Terreo")</f>
        <v>Terreo</v>
      </c>
      <c r="C444" s="108" t="str">
        <f>IFERROR(__xludf.DUMMYFUNCTION("""COMPUTED_VALUE"""),"Rouparia")</f>
        <v>Rouparia</v>
      </c>
      <c r="D444" s="108" t="str">
        <f>IFERROR(__xludf.DUMMYFUNCTION("""COMPUTED_VALUE"""),"TE")</f>
        <v>TE</v>
      </c>
      <c r="E444" s="108" t="str">
        <f>IFERROR(__xludf.DUMMYFUNCTION("""COMPUTED_VALUE"""),"A")</f>
        <v>A</v>
      </c>
      <c r="F444" s="108">
        <f>IFERROR(__xludf.DUMMYFUNCTION("""COMPUTED_VALUE"""),50.0)</f>
        <v>50</v>
      </c>
      <c r="G444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57cebd1baad146f5be1c593690de1193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57cebd1baad146f5be1c593690de1193&amp;showComments=1&amp;guid=6882be48-6626-5238-d3df-94e9f0a0019d</v>
      </c>
      <c r="H444" s="108" t="str">
        <f>IFERROR(__xludf.DUMMYFUNCTION("""COMPUTED_VALUE"""),"Depósito")</f>
        <v>Depósito</v>
      </c>
      <c r="I444" s="108"/>
      <c r="J444" s="108"/>
    </row>
    <row r="445">
      <c r="A445" s="109" t="str">
        <f>IFERROR(__xludf.DUMMYFUNCTION("""COMPUTED_VALUE"""),"TE-Sala Administrativa")</f>
        <v>TE-Sala Administrativa</v>
      </c>
      <c r="B445" s="108" t="str">
        <f>IFERROR(__xludf.DUMMYFUNCTION("""COMPUTED_VALUE"""),"Terreo")</f>
        <v>Terreo</v>
      </c>
      <c r="C445" s="108" t="str">
        <f>IFERROR(__xludf.DUMMYFUNCTION("""COMPUTED_VALUE"""),"Sala Administrativa")</f>
        <v>Sala Administrativa</v>
      </c>
      <c r="D445" s="108" t="str">
        <f>IFERROR(__xludf.DUMMYFUNCTION("""COMPUTED_VALUE"""),"TE")</f>
        <v>TE</v>
      </c>
      <c r="E445" s="108" t="str">
        <f>IFERROR(__xludf.DUMMYFUNCTION("""COMPUTED_VALUE"""),"B")</f>
        <v>B</v>
      </c>
      <c r="F445" s="108">
        <f>IFERROR(__xludf.DUMMYFUNCTION("""COMPUTED_VALUE"""),25.0)</f>
        <v>25</v>
      </c>
      <c r="G445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7aa9d09c98ad4231a6e539c642e37fce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7aa9d09c98ad4231a6e539c642e37fce&amp;showComments=1&amp;guid=6882be48-6626-5238-d3df-94e9f0a0019d</v>
      </c>
      <c r="H445" s="108" t="str">
        <f>IFERROR(__xludf.DUMMYFUNCTION("""COMPUTED_VALUE"""),"Outros")</f>
        <v>Outros</v>
      </c>
      <c r="I445" s="108"/>
      <c r="J445" s="108"/>
    </row>
    <row r="446">
      <c r="A446" s="109" t="str">
        <f>IFERROR(__xludf.DUMMYFUNCTION("""COMPUTED_VALUE"""),"TE-Sala Braquiterapia")</f>
        <v>TE-Sala Braquiterapia</v>
      </c>
      <c r="B446" s="108" t="str">
        <f>IFERROR(__xludf.DUMMYFUNCTION("""COMPUTED_VALUE"""),"Terreo")</f>
        <v>Terreo</v>
      </c>
      <c r="C446" s="108" t="str">
        <f>IFERROR(__xludf.DUMMYFUNCTION("""COMPUTED_VALUE"""),"Sala Braquiterapia")</f>
        <v>Sala Braquiterapia</v>
      </c>
      <c r="D446" s="108" t="str">
        <f>IFERROR(__xludf.DUMMYFUNCTION("""COMPUTED_VALUE"""),"TE")</f>
        <v>TE</v>
      </c>
      <c r="E446" s="108" t="str">
        <f>IFERROR(__xludf.DUMMYFUNCTION("""COMPUTED_VALUE"""),"B")</f>
        <v>B</v>
      </c>
      <c r="F446" s="108">
        <f>IFERROR(__xludf.DUMMYFUNCTION("""COMPUTED_VALUE"""),54.0)</f>
        <v>54</v>
      </c>
      <c r="G446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046567e444244013b763b914176b0223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046567e444244013b763b914176b0223&amp;showComments=1&amp;guid=6882be48-6626-5238-d3df-94e9f0a0019d</v>
      </c>
      <c r="H446" s="108" t="str">
        <f>IFERROR(__xludf.DUMMYFUNCTION("""COMPUTED_VALUE"""),"Outros")</f>
        <v>Outros</v>
      </c>
      <c r="I446" s="108"/>
      <c r="J446" s="108"/>
    </row>
    <row r="447">
      <c r="A447" s="109" t="str">
        <f>IFERROR(__xludf.DUMMYFUNCTION("""COMPUTED_VALUE"""),"TE-Sala Confecção Moldes Máscaras")</f>
        <v>TE-Sala Confecção Moldes Máscaras</v>
      </c>
      <c r="B447" s="108" t="str">
        <f>IFERROR(__xludf.DUMMYFUNCTION("""COMPUTED_VALUE"""),"Terreo")</f>
        <v>Terreo</v>
      </c>
      <c r="C447" s="108" t="str">
        <f>IFERROR(__xludf.DUMMYFUNCTION("""COMPUTED_VALUE"""),"Sala Confecção Moldes Máscaras")</f>
        <v>Sala Confecção Moldes Máscaras</v>
      </c>
      <c r="D447" s="108" t="str">
        <f>IFERROR(__xludf.DUMMYFUNCTION("""COMPUTED_VALUE"""),"TE")</f>
        <v>TE</v>
      </c>
      <c r="E447" s="108" t="str">
        <f>IFERROR(__xludf.DUMMYFUNCTION("""COMPUTED_VALUE"""),"A")</f>
        <v>A</v>
      </c>
      <c r="F447" s="108">
        <f>IFERROR(__xludf.DUMMYFUNCTION("""COMPUTED_VALUE"""),39.0)</f>
        <v>39</v>
      </c>
      <c r="G447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62ad3172cd7d4d6e9c272adb2bb3692f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62ad3172cd7d4d6e9c272adb2bb3692f&amp;showComments=1&amp;guid=6882be48-6626-5238-d3df-94e9f0a0019d</v>
      </c>
      <c r="H447" s="108" t="str">
        <f>IFERROR(__xludf.DUMMYFUNCTION("""COMPUTED_VALUE"""),"Outros")</f>
        <v>Outros</v>
      </c>
      <c r="I447" s="108"/>
      <c r="J447" s="108"/>
    </row>
    <row r="448">
      <c r="A448" s="109" t="str">
        <f>IFERROR(__xludf.DUMMYFUNCTION("""COMPUTED_VALUE"""),"TE-Sala de Estar / Copa Funcionários")</f>
        <v>TE-Sala de Estar / Copa Funcionários</v>
      </c>
      <c r="B448" s="108" t="str">
        <f>IFERROR(__xludf.DUMMYFUNCTION("""COMPUTED_VALUE"""),"Terreo")</f>
        <v>Terreo</v>
      </c>
      <c r="C448" s="108" t="str">
        <f>IFERROR(__xludf.DUMMYFUNCTION("""COMPUTED_VALUE"""),"Sala de Estar / Copa Funcionários")</f>
        <v>Sala de Estar / Copa Funcionários</v>
      </c>
      <c r="D448" s="108" t="str">
        <f>IFERROR(__xludf.DUMMYFUNCTION("""COMPUTED_VALUE"""),"TE")</f>
        <v>TE</v>
      </c>
      <c r="E448" s="108" t="str">
        <f>IFERROR(__xludf.DUMMYFUNCTION("""COMPUTED_VALUE"""),"B")</f>
        <v>B</v>
      </c>
      <c r="F448" s="108">
        <f>IFERROR(__xludf.DUMMYFUNCTION("""COMPUTED_VALUE"""),9.0)</f>
        <v>9</v>
      </c>
      <c r="G448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7efd04196b224401a368446a7ef1590e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7efd04196b224401a368446a7ef1590e&amp;showComments=1&amp;guid=6882be48-6626-5238-d3df-94e9f0a0019d</v>
      </c>
      <c r="H448" s="108" t="str">
        <f>IFERROR(__xludf.DUMMYFUNCTION("""COMPUTED_VALUE"""),"Ambiente")</f>
        <v>Ambiente</v>
      </c>
      <c r="I448" s="108"/>
      <c r="J448" s="108"/>
    </row>
    <row r="449">
      <c r="A449" s="109" t="str">
        <f>IFERROR(__xludf.DUMMYFUNCTION("""COMPUTED_VALUE"""),"TE-Sala de Preparo e Observação de Pacientes")</f>
        <v>TE-Sala de Preparo e Observação de Pacientes</v>
      </c>
      <c r="B449" s="108" t="str">
        <f>IFERROR(__xludf.DUMMYFUNCTION("""COMPUTED_VALUE"""),"Terreo")</f>
        <v>Terreo</v>
      </c>
      <c r="C449" s="108" t="str">
        <f>IFERROR(__xludf.DUMMYFUNCTION("""COMPUTED_VALUE"""),"Sala de Preparo e Observação de Pacientes")</f>
        <v>Sala de Preparo e Observação de Pacientes</v>
      </c>
      <c r="D449" s="108" t="str">
        <f>IFERROR(__xludf.DUMMYFUNCTION("""COMPUTED_VALUE"""),"TE")</f>
        <v>TE</v>
      </c>
      <c r="E449" s="108" t="str">
        <f>IFERROR(__xludf.DUMMYFUNCTION("""COMPUTED_VALUE"""),"B")</f>
        <v>B</v>
      </c>
      <c r="F449" s="108">
        <f>IFERROR(__xludf.DUMMYFUNCTION("""COMPUTED_VALUE"""),4.0)</f>
        <v>4</v>
      </c>
      <c r="G449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2330e501c9184e2db9fc948288155440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2330e501c9184e2db9fc948288155440&amp;showComments=1&amp;guid=6882be48-6626-5238-d3df-94e9f0a0019d</v>
      </c>
      <c r="H449" s="108" t="str">
        <f>IFERROR(__xludf.DUMMYFUNCTION("""COMPUTED_VALUE"""),"Ambiente")</f>
        <v>Ambiente</v>
      </c>
      <c r="I449" s="108"/>
      <c r="J449" s="108"/>
    </row>
    <row r="450">
      <c r="A450" s="109" t="str">
        <f>IFERROR(__xludf.DUMMYFUNCTION("""COMPUTED_VALUE"""),"TE-Sala de Reuniões Round")</f>
        <v>TE-Sala de Reuniões Round</v>
      </c>
      <c r="B450" s="108" t="str">
        <f>IFERROR(__xludf.DUMMYFUNCTION("""COMPUTED_VALUE"""),"Terreo")</f>
        <v>Terreo</v>
      </c>
      <c r="C450" s="108" t="str">
        <f>IFERROR(__xludf.DUMMYFUNCTION("""COMPUTED_VALUE"""),"Sala de Reuniões Round")</f>
        <v>Sala de Reuniões Round</v>
      </c>
      <c r="D450" s="108" t="str">
        <f>IFERROR(__xludf.DUMMYFUNCTION("""COMPUTED_VALUE"""),"TE")</f>
        <v>TE</v>
      </c>
      <c r="E450" s="108" t="str">
        <f>IFERROR(__xludf.DUMMYFUNCTION("""COMPUTED_VALUE"""),"B")</f>
        <v>B</v>
      </c>
      <c r="F450" s="108">
        <f>IFERROR(__xludf.DUMMYFUNCTION("""COMPUTED_VALUE"""),19.0)</f>
        <v>19</v>
      </c>
      <c r="G450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99334ad6748342c98b90db2a5ef1414e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99334ad6748342c98b90db2a5ef1414e&amp;showComments=1&amp;guid=6882be48-6626-5238-d3df-94e9f0a0019d</v>
      </c>
      <c r="H450" s="108" t="str">
        <f>IFERROR(__xludf.DUMMYFUNCTION("""COMPUTED_VALUE"""),"Outros")</f>
        <v>Outros</v>
      </c>
      <c r="I450" s="108"/>
      <c r="J450" s="108"/>
    </row>
    <row r="451">
      <c r="A451" s="109" t="str">
        <f>IFERROR(__xludf.DUMMYFUNCTION("""COMPUTED_VALUE"""),"TE-Sala de Serviço")</f>
        <v>TE-Sala de Serviço</v>
      </c>
      <c r="B451" s="108" t="str">
        <f>IFERROR(__xludf.DUMMYFUNCTION("""COMPUTED_VALUE"""),"Terreo")</f>
        <v>Terreo</v>
      </c>
      <c r="C451" s="108" t="str">
        <f>IFERROR(__xludf.DUMMYFUNCTION("""COMPUTED_VALUE"""),"Sala de Serviço")</f>
        <v>Sala de Serviço</v>
      </c>
      <c r="D451" s="108" t="str">
        <f>IFERROR(__xludf.DUMMYFUNCTION("""COMPUTED_VALUE"""),"TE")</f>
        <v>TE</v>
      </c>
      <c r="E451" s="108" t="str">
        <f>IFERROR(__xludf.DUMMYFUNCTION("""COMPUTED_VALUE"""),"A")</f>
        <v>A</v>
      </c>
      <c r="F451" s="108">
        <f>IFERROR(__xludf.DUMMYFUNCTION("""COMPUTED_VALUE"""),51.0)</f>
        <v>51</v>
      </c>
      <c r="G451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94e3eca375cc4aedb2975534c15d5c67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94e3eca375cc4aedb2975534c15d5c67&amp;showComments=1&amp;guid=6882be48-6626-5238-d3df-94e9f0a0019d</v>
      </c>
      <c r="H451" s="108" t="str">
        <f>IFERROR(__xludf.DUMMYFUNCTION("""COMPUTED_VALUE"""),"Outros")</f>
        <v>Outros</v>
      </c>
      <c r="I451" s="108"/>
      <c r="J451" s="108"/>
    </row>
    <row r="452">
      <c r="A452" s="109" t="str">
        <f>IFERROR(__xludf.DUMMYFUNCTION("""COMPUTED_VALUE"""),"TE-Sala de Terapia Aceleradore Linear 01")</f>
        <v>TE-Sala de Terapia Aceleradore Linear 01</v>
      </c>
      <c r="B452" s="108" t="str">
        <f>IFERROR(__xludf.DUMMYFUNCTION("""COMPUTED_VALUE"""),"Terreo")</f>
        <v>Terreo</v>
      </c>
      <c r="C452" s="108" t="str">
        <f>IFERROR(__xludf.DUMMYFUNCTION("""COMPUTED_VALUE"""),"Sala de Terapia Aceleradore Linear 01")</f>
        <v>Sala de Terapia Aceleradore Linear 01</v>
      </c>
      <c r="D452" s="108" t="str">
        <f>IFERROR(__xludf.DUMMYFUNCTION("""COMPUTED_VALUE"""),"TE")</f>
        <v>TE</v>
      </c>
      <c r="E452" s="108" t="str">
        <f>IFERROR(__xludf.DUMMYFUNCTION("""COMPUTED_VALUE"""),"A")</f>
        <v>A</v>
      </c>
      <c r="F452" s="108">
        <f>IFERROR(__xludf.DUMMYFUNCTION("""COMPUTED_VALUE"""),56.0)</f>
        <v>56</v>
      </c>
      <c r="G452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27431d3e87044ad9a0b220cb11f17bd1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27431d3e87044ad9a0b220cb11f17bd1&amp;showComments=1&amp;guid=6882be48-6626-5238-d3df-94e9f0a0019d</v>
      </c>
      <c r="H452" s="108" t="str">
        <f>IFERROR(__xludf.DUMMYFUNCTION("""COMPUTED_VALUE"""),"Outros")</f>
        <v>Outros</v>
      </c>
      <c r="I452" s="108"/>
      <c r="J452" s="108"/>
    </row>
    <row r="453">
      <c r="A453" s="109" t="str">
        <f>IFERROR(__xludf.DUMMYFUNCTION("""COMPUTED_VALUE"""),"TE-Sala de Terapia Aceleradore Linear 02")</f>
        <v>TE-Sala de Terapia Aceleradore Linear 02</v>
      </c>
      <c r="B453" s="108" t="str">
        <f>IFERROR(__xludf.DUMMYFUNCTION("""COMPUTED_VALUE"""),"Terreo")</f>
        <v>Terreo</v>
      </c>
      <c r="C453" s="108" t="str">
        <f>IFERROR(__xludf.DUMMYFUNCTION("""COMPUTED_VALUE"""),"Sala de Terapia Aceleradore Linear 02")</f>
        <v>Sala de Terapia Aceleradore Linear 02</v>
      </c>
      <c r="D453" s="108" t="str">
        <f>IFERROR(__xludf.DUMMYFUNCTION("""COMPUTED_VALUE"""),"TE")</f>
        <v>TE</v>
      </c>
      <c r="E453" s="108" t="str">
        <f>IFERROR(__xludf.DUMMYFUNCTION("""COMPUTED_VALUE"""),"A")</f>
        <v>A</v>
      </c>
      <c r="F453" s="108">
        <f>IFERROR(__xludf.DUMMYFUNCTION("""COMPUTED_VALUE"""),57.0)</f>
        <v>57</v>
      </c>
      <c r="G453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79267502c0bd441190c765a956a9f4ce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79267502c0bd441190c765a956a9f4ce&amp;showComments=1&amp;guid=6882be48-6626-5238-d3df-94e9f0a0019d</v>
      </c>
      <c r="H453" s="108" t="str">
        <f>IFERROR(__xludf.DUMMYFUNCTION("""COMPUTED_VALUE"""),"Outros")</f>
        <v>Outros</v>
      </c>
      <c r="I453" s="108"/>
      <c r="J453" s="108"/>
    </row>
    <row r="454">
      <c r="A454" s="109" t="str">
        <f>IFERROR(__xludf.DUMMYFUNCTION("""COMPUTED_VALUE"""),"TE-Sala de Terapia Aceleradore Linear 03")</f>
        <v>TE-Sala de Terapia Aceleradore Linear 03</v>
      </c>
      <c r="B454" s="108" t="str">
        <f>IFERROR(__xludf.DUMMYFUNCTION("""COMPUTED_VALUE"""),"Terreo")</f>
        <v>Terreo</v>
      </c>
      <c r="C454" s="108" t="str">
        <f>IFERROR(__xludf.DUMMYFUNCTION("""COMPUTED_VALUE"""),"Sala de Terapia Aceleradore Linear 03")</f>
        <v>Sala de Terapia Aceleradore Linear 03</v>
      </c>
      <c r="D454" s="108" t="str">
        <f>IFERROR(__xludf.DUMMYFUNCTION("""COMPUTED_VALUE"""),"TE")</f>
        <v>TE</v>
      </c>
      <c r="E454" s="108" t="str">
        <f>IFERROR(__xludf.DUMMYFUNCTION("""COMPUTED_VALUE"""),"A")</f>
        <v>A</v>
      </c>
      <c r="F454" s="108">
        <f>IFERROR(__xludf.DUMMYFUNCTION("""COMPUTED_VALUE"""),58.0)</f>
        <v>58</v>
      </c>
      <c r="G454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dda9f6ac51fd4e29aa367e7a47eb9fcc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dda9f6ac51fd4e29aa367e7a47eb9fcc&amp;showComments=1&amp;guid=6882be48-6626-5238-d3df-94e9f0a0019d</v>
      </c>
      <c r="H454" s="108" t="str">
        <f>IFERROR(__xludf.DUMMYFUNCTION("""COMPUTED_VALUE"""),"Outros")</f>
        <v>Outros</v>
      </c>
      <c r="I454" s="108"/>
      <c r="J454" s="108"/>
    </row>
    <row r="455">
      <c r="A455" s="109" t="str">
        <f>IFERROR(__xludf.DUMMYFUNCTION("""COMPUTED_VALUE"""),"TE-Sala de Utilidades")</f>
        <v>TE-Sala de Utilidades</v>
      </c>
      <c r="B455" s="108" t="str">
        <f>IFERROR(__xludf.DUMMYFUNCTION("""COMPUTED_VALUE"""),"Terreo")</f>
        <v>Terreo</v>
      </c>
      <c r="C455" s="108" t="str">
        <f>IFERROR(__xludf.DUMMYFUNCTION("""COMPUTED_VALUE"""),"Sala de Utilidades")</f>
        <v>Sala de Utilidades</v>
      </c>
      <c r="D455" s="108" t="str">
        <f>IFERROR(__xludf.DUMMYFUNCTION("""COMPUTED_VALUE"""),"TE")</f>
        <v>TE</v>
      </c>
      <c r="E455" s="108" t="str">
        <f>IFERROR(__xludf.DUMMYFUNCTION("""COMPUTED_VALUE"""),"A")</f>
        <v>A</v>
      </c>
      <c r="F455" s="108">
        <f>IFERROR(__xludf.DUMMYFUNCTION("""COMPUTED_VALUE"""),52.0)</f>
        <v>52</v>
      </c>
      <c r="G455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536ea7eb65574979a5d2fd3b1a9a454f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536ea7eb65574979a5d2fd3b1a9a454f&amp;showComments=1&amp;guid=6882be48-6626-5238-d3df-94e9f0a0019d</v>
      </c>
      <c r="H455" s="108" t="str">
        <f>IFERROR(__xludf.DUMMYFUNCTION("""COMPUTED_VALUE"""),"Outros")</f>
        <v>Outros</v>
      </c>
      <c r="I455" s="108"/>
      <c r="J455" s="108"/>
    </row>
    <row r="456">
      <c r="A456" s="109" t="str">
        <f>IFERROR(__xludf.DUMMYFUNCTION("""COMPUTED_VALUE"""),"TE-Sala Elétrica 1")</f>
        <v>TE-Sala Elétrica 1</v>
      </c>
      <c r="B456" s="108" t="str">
        <f>IFERROR(__xludf.DUMMYFUNCTION("""COMPUTED_VALUE"""),"Terreo")</f>
        <v>Terreo</v>
      </c>
      <c r="C456" s="108" t="str">
        <f>IFERROR(__xludf.DUMMYFUNCTION("""COMPUTED_VALUE"""),"Sala Elétrica 1")</f>
        <v>Sala Elétrica 1</v>
      </c>
      <c r="D456" s="108" t="str">
        <f>IFERROR(__xludf.DUMMYFUNCTION("""COMPUTED_VALUE"""),"TE")</f>
        <v>TE</v>
      </c>
      <c r="E456" s="108" t="str">
        <f>IFERROR(__xludf.DUMMYFUNCTION("""COMPUTED_VALUE"""),"B")</f>
        <v>B</v>
      </c>
      <c r="F456" s="108">
        <f>IFERROR(__xludf.DUMMYFUNCTION("""COMPUTED_VALUE"""),7.0)</f>
        <v>7</v>
      </c>
      <c r="G456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58347b98000f41ad8a332d044e062fa0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58347b98000f41ad8a332d044e062fa0&amp;showComments=1&amp;guid=6882be48-6626-5238-d3df-94e9f0a0019d</v>
      </c>
      <c r="H456" s="108" t="str">
        <f>IFERROR(__xludf.DUMMYFUNCTION("""COMPUTED_VALUE"""),"Sala Elétrica")</f>
        <v>Sala Elétrica</v>
      </c>
      <c r="I456" s="108"/>
      <c r="J456" s="108"/>
    </row>
    <row r="457">
      <c r="A457" s="108" t="str">
        <f>IFERROR(__xludf.DUMMYFUNCTION("""COMPUTED_VALUE"""),"TE-Sala Elétrica 2")</f>
        <v>TE-Sala Elétrica 2</v>
      </c>
      <c r="B457" s="108" t="str">
        <f>IFERROR(__xludf.DUMMYFUNCTION("""COMPUTED_VALUE"""),"Terreo")</f>
        <v>Terreo</v>
      </c>
      <c r="C457" s="108" t="str">
        <f>IFERROR(__xludf.DUMMYFUNCTION("""COMPUTED_VALUE"""),"Sala Elétrica 2")</f>
        <v>Sala Elétrica 2</v>
      </c>
      <c r="D457" s="108" t="str">
        <f>IFERROR(__xludf.DUMMYFUNCTION("""COMPUTED_VALUE"""),"TE")</f>
        <v>TE</v>
      </c>
      <c r="E457" s="108" t="str">
        <f>IFERROR(__xludf.DUMMYFUNCTION("""COMPUTED_VALUE"""),"A")</f>
        <v>A</v>
      </c>
      <c r="F457" s="108">
        <f>IFERROR(__xludf.DUMMYFUNCTION("""COMPUTED_VALUE"""),59.0)</f>
        <v>59</v>
      </c>
      <c r="G457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2d2b691d36574cbea770f3717c2c842e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2d2b691d36574cbea770f3717c2c842e&amp;showComments=1&amp;guid=6882be48-6626-5238-d3df-94e9f0a0019d</v>
      </c>
      <c r="H457" s="108" t="str">
        <f>IFERROR(__xludf.DUMMYFUNCTION("""COMPUTED_VALUE"""),"Sala Elétrica")</f>
        <v>Sala Elétrica</v>
      </c>
      <c r="I457" s="108"/>
      <c r="J457" s="108"/>
    </row>
    <row r="458">
      <c r="A458" s="109" t="str">
        <f>IFERROR(__xludf.DUMMYFUNCTION("""COMPUTED_VALUE"""),"TE-Sala Elétrica QDGT - Escadas")</f>
        <v>TE-Sala Elétrica QDGT - Escadas</v>
      </c>
      <c r="B458" s="108" t="str">
        <f>IFERROR(__xludf.DUMMYFUNCTION("""COMPUTED_VALUE"""),"Terreo")</f>
        <v>Terreo</v>
      </c>
      <c r="C458" s="108" t="str">
        <f>IFERROR(__xludf.DUMMYFUNCTION("""COMPUTED_VALUE"""),"Sala Elétrica QDGT - Escadas")</f>
        <v>Sala Elétrica QDGT - Escadas</v>
      </c>
      <c r="D458" s="108" t="str">
        <f>IFERROR(__xludf.DUMMYFUNCTION("""COMPUTED_VALUE"""),"TE")</f>
        <v>TE</v>
      </c>
      <c r="E458" s="108" t="str">
        <f>IFERROR(__xludf.DUMMYFUNCTION("""COMPUTED_VALUE"""),"B")</f>
        <v>B</v>
      </c>
      <c r="F458" s="108">
        <f>IFERROR(__xludf.DUMMYFUNCTION("""COMPUTED_VALUE"""),8.0)</f>
        <v>8</v>
      </c>
      <c r="G458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ac4f0d0bfb3c4a5f8acdd6d22e3385d6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ac4f0d0bfb3c4a5f8acdd6d22e3385d6&amp;showComments=1&amp;guid=6882be48-6626-5238-d3df-94e9f0a0019d</v>
      </c>
      <c r="H458" s="108" t="str">
        <f>IFERROR(__xludf.DUMMYFUNCTION("""COMPUTED_VALUE"""),"Sala Elétrica")</f>
        <v>Sala Elétrica</v>
      </c>
      <c r="I458" s="108"/>
      <c r="J458" s="108"/>
    </row>
    <row r="459">
      <c r="A459" s="109" t="str">
        <f>IFERROR(__xludf.DUMMYFUNCTION("""COMPUTED_VALUE"""),"TE-Sala Espera Adulto")</f>
        <v>TE-Sala Espera Adulto</v>
      </c>
      <c r="B459" s="108" t="str">
        <f>IFERROR(__xludf.DUMMYFUNCTION("""COMPUTED_VALUE"""),"Terreo")</f>
        <v>Terreo</v>
      </c>
      <c r="C459" s="108" t="str">
        <f>IFERROR(__xludf.DUMMYFUNCTION("""COMPUTED_VALUE"""),"Sala Espera Adulto")</f>
        <v>Sala Espera Adulto</v>
      </c>
      <c r="D459" s="108" t="str">
        <f>IFERROR(__xludf.DUMMYFUNCTION("""COMPUTED_VALUE"""),"TE")</f>
        <v>TE</v>
      </c>
      <c r="E459" s="108" t="str">
        <f>IFERROR(__xludf.DUMMYFUNCTION("""COMPUTED_VALUE"""),"A")</f>
        <v>A</v>
      </c>
      <c r="F459" s="108">
        <f>IFERROR(__xludf.DUMMYFUNCTION("""COMPUTED_VALUE"""),27.0)</f>
        <v>27</v>
      </c>
      <c r="G459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e30d1bf902f744d199d778e6ce7ca7bd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e30d1bf902f744d199d778e6ce7ca7bd&amp;showComments=1&amp;guid=6882be48-6626-5238-d3df-94e9f0a0019d</v>
      </c>
      <c r="H459" s="108" t="str">
        <f>IFERROR(__xludf.DUMMYFUNCTION("""COMPUTED_VALUE"""),"Recepção")</f>
        <v>Recepção</v>
      </c>
      <c r="I459" s="108"/>
      <c r="J459" s="108"/>
    </row>
    <row r="460">
      <c r="A460" s="109" t="str">
        <f>IFERROR(__xludf.DUMMYFUNCTION("""COMPUTED_VALUE"""),"TE-Sala Espera Adulto 2")</f>
        <v>TE-Sala Espera Adulto 2</v>
      </c>
      <c r="B460" s="108" t="str">
        <f>IFERROR(__xludf.DUMMYFUNCTION("""COMPUTED_VALUE"""),"Terreo")</f>
        <v>Terreo</v>
      </c>
      <c r="C460" s="108" t="str">
        <f>IFERROR(__xludf.DUMMYFUNCTION("""COMPUTED_VALUE"""),"Sala Espera Adulto 2")</f>
        <v>Sala Espera Adulto 2</v>
      </c>
      <c r="D460" s="108" t="str">
        <f>IFERROR(__xludf.DUMMYFUNCTION("""COMPUTED_VALUE"""),"TE")</f>
        <v>TE</v>
      </c>
      <c r="E460" s="108" t="str">
        <f>IFERROR(__xludf.DUMMYFUNCTION("""COMPUTED_VALUE"""),"A")</f>
        <v>A</v>
      </c>
      <c r="F460" s="108">
        <f>IFERROR(__xludf.DUMMYFUNCTION("""COMPUTED_VALUE"""),32.0)</f>
        <v>32</v>
      </c>
      <c r="G460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</v>
      </c>
      <c r="H460" s="108" t="str">
        <f>IFERROR(__xludf.DUMMYFUNCTION("""COMPUTED_VALUE"""),"Recepção")</f>
        <v>Recepção</v>
      </c>
      <c r="I460" s="108"/>
      <c r="J460" s="108"/>
    </row>
    <row r="461">
      <c r="A461" s="109" t="str">
        <f>IFERROR(__xludf.DUMMYFUNCTION("""COMPUTED_VALUE"""),"TE-Sala Espera Paciente Maca")</f>
        <v>TE-Sala Espera Paciente Maca</v>
      </c>
      <c r="B461" s="108" t="str">
        <f>IFERROR(__xludf.DUMMYFUNCTION("""COMPUTED_VALUE"""),"Terreo")</f>
        <v>Terreo</v>
      </c>
      <c r="C461" s="108" t="str">
        <f>IFERROR(__xludf.DUMMYFUNCTION("""COMPUTED_VALUE"""),"Sala Espera Paciente Maca")</f>
        <v>Sala Espera Paciente Maca</v>
      </c>
      <c r="D461" s="108" t="str">
        <f>IFERROR(__xludf.DUMMYFUNCTION("""COMPUTED_VALUE"""),"TE")</f>
        <v>TE</v>
      </c>
      <c r="E461" s="108" t="str">
        <f>IFERROR(__xludf.DUMMYFUNCTION("""COMPUTED_VALUE"""),"B")</f>
        <v>B</v>
      </c>
      <c r="F461" s="108">
        <f>IFERROR(__xludf.DUMMYFUNCTION("""COMPUTED_VALUE"""),17.0)</f>
        <v>17</v>
      </c>
      <c r="G461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fc3acb6a20c742419ee8d9bbad582729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fc3acb6a20c742419ee8d9bbad582729&amp;showComments=1&amp;guid=6882be48-6626-5238-d3df-94e9f0a0019d</v>
      </c>
      <c r="H461" s="108" t="str">
        <f>IFERROR(__xludf.DUMMYFUNCTION("""COMPUTED_VALUE"""),"Outros")</f>
        <v>Outros</v>
      </c>
      <c r="I461" s="108"/>
      <c r="J461" s="108"/>
    </row>
    <row r="462">
      <c r="A462" s="109" t="str">
        <f>IFERROR(__xludf.DUMMYFUNCTION("""COMPUTED_VALUE"""),"TE-Sala Espera Pediátrica")</f>
        <v>TE-Sala Espera Pediátrica</v>
      </c>
      <c r="B462" s="108" t="str">
        <f>IFERROR(__xludf.DUMMYFUNCTION("""COMPUTED_VALUE"""),"Terreo")</f>
        <v>Terreo</v>
      </c>
      <c r="C462" s="108" t="str">
        <f>IFERROR(__xludf.DUMMYFUNCTION("""COMPUTED_VALUE"""),"Sala Espera Pediátrica")</f>
        <v>Sala Espera Pediátrica</v>
      </c>
      <c r="D462" s="108" t="str">
        <f>IFERROR(__xludf.DUMMYFUNCTION("""COMPUTED_VALUE"""),"TE")</f>
        <v>TE</v>
      </c>
      <c r="E462" s="108" t="str">
        <f>IFERROR(__xludf.DUMMYFUNCTION("""COMPUTED_VALUE"""),"A")</f>
        <v>A</v>
      </c>
      <c r="F462" s="108">
        <f>IFERROR(__xludf.DUMMYFUNCTION("""COMPUTED_VALUE"""),28.0)</f>
        <v>28</v>
      </c>
      <c r="G462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9243d61ed383497eae5c859ed5dad031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9243d61ed383497eae5c859ed5dad031&amp;showComments=1&amp;guid=6882be48-6626-5238-d3df-94e9f0a0019d</v>
      </c>
      <c r="H462" s="108" t="str">
        <f>IFERROR(__xludf.DUMMYFUNCTION("""COMPUTED_VALUE"""),"Recepção")</f>
        <v>Recepção</v>
      </c>
      <c r="I462" s="108"/>
      <c r="J462" s="108"/>
    </row>
    <row r="463">
      <c r="A463" s="109" t="str">
        <f>IFERROR(__xludf.DUMMYFUNCTION("""COMPUTED_VALUE"""),"TE-Sala Planejamento Física Médica")</f>
        <v>TE-Sala Planejamento Física Médica</v>
      </c>
      <c r="B463" s="108" t="str">
        <f>IFERROR(__xludf.DUMMYFUNCTION("""COMPUTED_VALUE"""),"Terreo")</f>
        <v>Terreo</v>
      </c>
      <c r="C463" s="108" t="str">
        <f>IFERROR(__xludf.DUMMYFUNCTION("""COMPUTED_VALUE"""),"Sala Planejamento Física Médica")</f>
        <v>Sala Planejamento Física Médica</v>
      </c>
      <c r="D463" s="108" t="str">
        <f>IFERROR(__xludf.DUMMYFUNCTION("""COMPUTED_VALUE"""),"TE")</f>
        <v>TE</v>
      </c>
      <c r="E463" s="108" t="str">
        <f>IFERROR(__xludf.DUMMYFUNCTION("""COMPUTED_VALUE"""),"A")</f>
        <v>A</v>
      </c>
      <c r="F463" s="108">
        <f>IFERROR(__xludf.DUMMYFUNCTION("""COMPUTED_VALUE"""),45.0)</f>
        <v>45</v>
      </c>
      <c r="G463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4c9475df15734f9da3049cf59a8ac45b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4c9475df15734f9da3049cf59a8ac45b&amp;showComments=1&amp;guid=6882be48-6626-5238-d3df-94e9f0a0019d</v>
      </c>
      <c r="H463" s="108" t="str">
        <f>IFERROR(__xludf.DUMMYFUNCTION("""COMPUTED_VALUE"""),"Outros")</f>
        <v>Outros</v>
      </c>
      <c r="I463" s="108"/>
      <c r="J463" s="108"/>
    </row>
    <row r="464">
      <c r="A464" s="109" t="str">
        <f>IFERROR(__xludf.DUMMYFUNCTION("""COMPUTED_VALUE"""),"TE-Sala Preparo Armazenagem de Fontes")</f>
        <v>TE-Sala Preparo Armazenagem de Fontes</v>
      </c>
      <c r="B464" s="108" t="str">
        <f>IFERROR(__xludf.DUMMYFUNCTION("""COMPUTED_VALUE"""),"Terreo")</f>
        <v>Terreo</v>
      </c>
      <c r="C464" s="108" t="str">
        <f>IFERROR(__xludf.DUMMYFUNCTION("""COMPUTED_VALUE"""),"Sala Preparo Armazenagem de Fontes")</f>
        <v>Sala Preparo Armazenagem de Fontes</v>
      </c>
      <c r="D464" s="108" t="str">
        <f>IFERROR(__xludf.DUMMYFUNCTION("""COMPUTED_VALUE"""),"TE")</f>
        <v>TE</v>
      </c>
      <c r="E464" s="108" t="str">
        <f>IFERROR(__xludf.DUMMYFUNCTION("""COMPUTED_VALUE"""),"B")</f>
        <v>B</v>
      </c>
      <c r="F464" s="108">
        <f>IFERROR(__xludf.DUMMYFUNCTION("""COMPUTED_VALUE"""),20.0)</f>
        <v>20</v>
      </c>
      <c r="G464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aaae55eac5834d4aaa226b5e80f9741e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aaae55eac5834d4aaa226b5e80f9741e&amp;showComments=1&amp;guid=6882be48-6626-5238-d3df-94e9f0a0019d</v>
      </c>
      <c r="H464" s="108" t="str">
        <f>IFERROR(__xludf.DUMMYFUNCTION("""COMPUTED_VALUE"""),"Outros")</f>
        <v>Outros</v>
      </c>
      <c r="I464" s="108"/>
      <c r="J464" s="108"/>
    </row>
    <row r="465">
      <c r="A465" s="109" t="str">
        <f>IFERROR(__xludf.DUMMYFUNCTION("""COMPUTED_VALUE"""),"TE-Sala Rack AA - 03 - TI")</f>
        <v>TE-Sala Rack AA - 03 - TI</v>
      </c>
      <c r="B465" s="108" t="str">
        <f>IFERROR(__xludf.DUMMYFUNCTION("""COMPUTED_VALUE"""),"Terreo")</f>
        <v>Terreo</v>
      </c>
      <c r="C465" s="108" t="str">
        <f>IFERROR(__xludf.DUMMYFUNCTION("""COMPUTED_VALUE"""),"Sala Rack AA - 03 - TI")</f>
        <v>Sala Rack AA - 03 - TI</v>
      </c>
      <c r="D465" s="108" t="str">
        <f>IFERROR(__xludf.DUMMYFUNCTION("""COMPUTED_VALUE"""),"TE")</f>
        <v>TE</v>
      </c>
      <c r="E465" s="108" t="str">
        <f>IFERROR(__xludf.DUMMYFUNCTION("""COMPUTED_VALUE"""),"A")</f>
        <v>A</v>
      </c>
      <c r="F465" s="108">
        <f>IFERROR(__xludf.DUMMYFUNCTION("""COMPUTED_VALUE"""),23.0)</f>
        <v>23</v>
      </c>
      <c r="G465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</v>
      </c>
      <c r="H465" s="108" t="str">
        <f>IFERROR(__xludf.DUMMYFUNCTION("""COMPUTED_VALUE"""),"Sala Elétrica")</f>
        <v>Sala Elétrica</v>
      </c>
      <c r="I465" s="108"/>
      <c r="J465" s="108"/>
    </row>
    <row r="466">
      <c r="A466" s="109" t="str">
        <f>IFERROR(__xludf.DUMMYFUNCTION("""COMPUTED_VALUE"""),"TE-Sala Rack Principal - TI")</f>
        <v>TE-Sala Rack Principal - TI</v>
      </c>
      <c r="B466" s="108" t="str">
        <f>IFERROR(__xludf.DUMMYFUNCTION("""COMPUTED_VALUE"""),"Terreo")</f>
        <v>Terreo</v>
      </c>
      <c r="C466" s="108" t="str">
        <f>IFERROR(__xludf.DUMMYFUNCTION("""COMPUTED_VALUE"""),"Sala Rack Principal - TI")</f>
        <v>Sala Rack Principal - TI</v>
      </c>
      <c r="D466" s="108" t="str">
        <f>IFERROR(__xludf.DUMMYFUNCTION("""COMPUTED_VALUE"""),"TE")</f>
        <v>TE</v>
      </c>
      <c r="E466" s="108" t="str">
        <f>IFERROR(__xludf.DUMMYFUNCTION("""COMPUTED_VALUE"""),"A")</f>
        <v>A</v>
      </c>
      <c r="F466" s="108">
        <f>IFERROR(__xludf.DUMMYFUNCTION("""COMPUTED_VALUE"""),55.0)</f>
        <v>55</v>
      </c>
      <c r="G466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cd6c6611ebed4e92a5670807776d7ffa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cd6c6611ebed4e92a5670807776d7ffa&amp;showComments=1&amp;guid=6882be48-6626-5238-d3df-94e9f0a0019d</v>
      </c>
      <c r="H466" s="108" t="str">
        <f>IFERROR(__xludf.DUMMYFUNCTION("""COMPUTED_VALUE"""),"Sala Elétrica")</f>
        <v>Sala Elétrica</v>
      </c>
      <c r="I466" s="108"/>
      <c r="J466" s="108"/>
    </row>
    <row r="467">
      <c r="A467" s="109" t="str">
        <f>IFERROR(__xludf.DUMMYFUNCTION("""COMPUTED_VALUE"""),"TE-Sala Radio")</f>
        <v>TE-Sala Radio</v>
      </c>
      <c r="B467" s="108" t="str">
        <f>IFERROR(__xludf.DUMMYFUNCTION("""COMPUTED_VALUE"""),"Terreo")</f>
        <v>Terreo</v>
      </c>
      <c r="C467" s="108" t="str">
        <f>IFERROR(__xludf.DUMMYFUNCTION("""COMPUTED_VALUE"""),"Sala Radio")</f>
        <v>Sala Radio</v>
      </c>
      <c r="D467" s="108" t="str">
        <f>IFERROR(__xludf.DUMMYFUNCTION("""COMPUTED_VALUE"""),"TE")</f>
        <v>TE</v>
      </c>
      <c r="E467" s="108" t="str">
        <f>IFERROR(__xludf.DUMMYFUNCTION("""COMPUTED_VALUE"""),"A")</f>
        <v>A</v>
      </c>
      <c r="F467" s="108">
        <f>IFERROR(__xludf.DUMMYFUNCTION("""COMPUTED_VALUE"""),22.0)</f>
        <v>22</v>
      </c>
      <c r="G467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bf853532220149bcae8a28a6fe269145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bf853532220149bcae8a28a6fe269145&amp;showComments=1&amp;guid=6882be48-6626-5238-d3df-94e9f0a0019d</v>
      </c>
      <c r="H467" s="108" t="str">
        <f>IFERROR(__xludf.DUMMYFUNCTION("""COMPUTED_VALUE"""),"Outros")</f>
        <v>Outros</v>
      </c>
      <c r="I467" s="108"/>
      <c r="J467" s="108"/>
    </row>
    <row r="468">
      <c r="A468" s="109" t="str">
        <f>IFERROR(__xludf.DUMMYFUNCTION("""COMPUTED_VALUE"""),"TE-Sanitário Funcionários Feminino")</f>
        <v>TE-Sanitário Funcionários Feminino</v>
      </c>
      <c r="B468" s="108" t="str">
        <f>IFERROR(__xludf.DUMMYFUNCTION("""COMPUTED_VALUE"""),"Terreo")</f>
        <v>Terreo</v>
      </c>
      <c r="C468" s="108" t="str">
        <f>IFERROR(__xludf.DUMMYFUNCTION("""COMPUTED_VALUE"""),"Sanitário Funcionários Feminino")</f>
        <v>Sanitário Funcionários Feminino</v>
      </c>
      <c r="D468" s="108" t="str">
        <f>IFERROR(__xludf.DUMMYFUNCTION("""COMPUTED_VALUE"""),"TE")</f>
        <v>TE</v>
      </c>
      <c r="E468" s="108" t="str">
        <f>IFERROR(__xludf.DUMMYFUNCTION("""COMPUTED_VALUE"""),"B")</f>
        <v>B</v>
      </c>
      <c r="F468" s="108">
        <f>IFERROR(__xludf.DUMMYFUNCTION("""COMPUTED_VALUE"""),14.0)</f>
        <v>14</v>
      </c>
      <c r="G468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showComments=1&amp;guid=6882b"&amp;"e48-6626-5238-d3df-94e9f0a0019d&amp;commentId=urn:adsk.comments:social.comment:a988aeaa8658469bad856803098e6d66")</f>
        <v>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&amp;commentId=urn:adsk.comments:social.comment:a988aeaa8658469bad856803098e6d66</v>
      </c>
      <c r="H468" s="108" t="str">
        <f>IFERROR(__xludf.DUMMYFUNCTION("""COMPUTED_VALUE"""),"Sanitário")</f>
        <v>Sanitário</v>
      </c>
      <c r="I468" s="108"/>
      <c r="J468" s="108"/>
    </row>
    <row r="469">
      <c r="A469" s="109" t="str">
        <f>IFERROR(__xludf.DUMMYFUNCTION("""COMPUTED_VALUE"""),"TE-Sanitário Funcionários Feminino")</f>
        <v>TE-Sanitário Funcionários Feminino</v>
      </c>
      <c r="B469" s="108" t="str">
        <f>IFERROR(__xludf.DUMMYFUNCTION("""COMPUTED_VALUE"""),"Terreo")</f>
        <v>Terreo</v>
      </c>
      <c r="C469" s="108" t="str">
        <f>IFERROR(__xludf.DUMMYFUNCTION("""COMPUTED_VALUE"""),"Sanitário Funcionários Feminino")</f>
        <v>Sanitário Funcionários Feminino</v>
      </c>
      <c r="D469" s="108" t="str">
        <f>IFERROR(__xludf.DUMMYFUNCTION("""COMPUTED_VALUE"""),"TE")</f>
        <v>TE</v>
      </c>
      <c r="E469" s="108" t="str">
        <f>IFERROR(__xludf.DUMMYFUNCTION("""COMPUTED_VALUE"""),"A")</f>
        <v>A</v>
      </c>
      <c r="F469" s="108">
        <f>IFERROR(__xludf.DUMMYFUNCTION("""COMPUTED_VALUE"""),47.0)</f>
        <v>47</v>
      </c>
      <c r="G469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ee51689bd6094aefb68c7d3accda0fd5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ee51689bd6094aefb68c7d3accda0fd5&amp;showComments=1&amp;guid=6882be48-6626-5238-d3df-94e9f0a0019d</v>
      </c>
      <c r="H469" s="108" t="str">
        <f>IFERROR(__xludf.DUMMYFUNCTION("""COMPUTED_VALUE"""),"Sanitário")</f>
        <v>Sanitário</v>
      </c>
      <c r="I469" s="108"/>
      <c r="J469" s="108"/>
    </row>
    <row r="470">
      <c r="A470" s="109" t="str">
        <f>IFERROR(__xludf.DUMMYFUNCTION("""COMPUTED_VALUE"""),"TE-Sanitário Funcionários Masculino")</f>
        <v>TE-Sanitário Funcionários Masculino</v>
      </c>
      <c r="B470" s="108" t="str">
        <f>IFERROR(__xludf.DUMMYFUNCTION("""COMPUTED_VALUE"""),"Terreo")</f>
        <v>Terreo</v>
      </c>
      <c r="C470" s="108" t="str">
        <f>IFERROR(__xludf.DUMMYFUNCTION("""COMPUTED_VALUE"""),"Sanitário Funcionários Masculino")</f>
        <v>Sanitário Funcionários Masculino</v>
      </c>
      <c r="D470" s="108" t="str">
        <f>IFERROR(__xludf.DUMMYFUNCTION("""COMPUTED_VALUE"""),"TE")</f>
        <v>TE</v>
      </c>
      <c r="E470" s="108" t="str">
        <f>IFERROR(__xludf.DUMMYFUNCTION("""COMPUTED_VALUE"""),"B")</f>
        <v>B</v>
      </c>
      <c r="F470" s="108">
        <f>IFERROR(__xludf.DUMMYFUNCTION("""COMPUTED_VALUE"""),13.0)</f>
        <v>13</v>
      </c>
      <c r="G470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cec6adf4ddca4d7eb2e4c890545d477a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cec6adf4ddca4d7eb2e4c890545d477a&amp;showComments=1&amp;guid=6882be48-6626-5238-d3df-94e9f0a0019d</v>
      </c>
      <c r="H470" s="108" t="str">
        <f>IFERROR(__xludf.DUMMYFUNCTION("""COMPUTED_VALUE"""),"Sanitário")</f>
        <v>Sanitário</v>
      </c>
      <c r="I470" s="108"/>
      <c r="J470" s="108"/>
    </row>
    <row r="471">
      <c r="A471" s="109" t="str">
        <f>IFERROR(__xludf.DUMMYFUNCTION("""COMPUTED_VALUE"""),"TE-Sanitário Funcionários Masculino")</f>
        <v>TE-Sanitário Funcionários Masculino</v>
      </c>
      <c r="B471" s="108" t="str">
        <f>IFERROR(__xludf.DUMMYFUNCTION("""COMPUTED_VALUE"""),"Terreo")</f>
        <v>Terreo</v>
      </c>
      <c r="C471" s="108" t="str">
        <f>IFERROR(__xludf.DUMMYFUNCTION("""COMPUTED_VALUE"""),"Sanitário Funcionários Masculino")</f>
        <v>Sanitário Funcionários Masculino</v>
      </c>
      <c r="D471" s="108" t="str">
        <f>IFERROR(__xludf.DUMMYFUNCTION("""COMPUTED_VALUE"""),"TE")</f>
        <v>TE</v>
      </c>
      <c r="E471" s="108" t="str">
        <f>IFERROR(__xludf.DUMMYFUNCTION("""COMPUTED_VALUE"""),"A")</f>
        <v>A</v>
      </c>
      <c r="F471" s="108">
        <f>IFERROR(__xludf.DUMMYFUNCTION("""COMPUTED_VALUE"""),46.0)</f>
        <v>46</v>
      </c>
      <c r="G471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7f12d8ba135f41ef9791da43c75adb46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7f12d8ba135f41ef9791da43c75adb46&amp;showComments=1&amp;guid=6882be48-6626-5238-d3df-94e9f0a0019d</v>
      </c>
      <c r="H471" s="108" t="str">
        <f>IFERROR(__xludf.DUMMYFUNCTION("""COMPUTED_VALUE"""),"Sanitário")</f>
        <v>Sanitário</v>
      </c>
      <c r="I471" s="108"/>
      <c r="J471" s="108"/>
    </row>
    <row r="472">
      <c r="A472" s="109" t="str">
        <f>IFERROR(__xludf.DUMMYFUNCTION("""COMPUTED_VALUE"""),"TE-Sanitário Paciente PCD Feminino")</f>
        <v>TE-Sanitário Paciente PCD Feminino</v>
      </c>
      <c r="B472" s="108" t="str">
        <f>IFERROR(__xludf.DUMMYFUNCTION("""COMPUTED_VALUE"""),"Terreo")</f>
        <v>Terreo</v>
      </c>
      <c r="C472" s="108" t="str">
        <f>IFERROR(__xludf.DUMMYFUNCTION("""COMPUTED_VALUE"""),"Sanitário Paciente PCD Feminino")</f>
        <v>Sanitário Paciente PCD Feminino</v>
      </c>
      <c r="D472" s="108" t="str">
        <f>IFERROR(__xludf.DUMMYFUNCTION("""COMPUTED_VALUE"""),"TE")</f>
        <v>TE</v>
      </c>
      <c r="E472" s="108" t="str">
        <f>IFERROR(__xludf.DUMMYFUNCTION("""COMPUTED_VALUE"""),"A")</f>
        <v>A</v>
      </c>
      <c r="F472" s="108">
        <f>IFERROR(__xludf.DUMMYFUNCTION("""COMPUTED_VALUE"""),40.0)</f>
        <v>40</v>
      </c>
      <c r="G472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00bc90cbb49e47c284f645d62958ca2b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00bc90cbb49e47c284f645d62958ca2b&amp;showComments=1&amp;guid=6882be48-6626-5238-d3df-94e9f0a0019d</v>
      </c>
      <c r="H472" s="108" t="str">
        <f>IFERROR(__xludf.DUMMYFUNCTION("""COMPUTED_VALUE"""),"Sanitário")</f>
        <v>Sanitário</v>
      </c>
      <c r="I472" s="108"/>
      <c r="J472" s="108"/>
    </row>
    <row r="473">
      <c r="A473" s="109" t="str">
        <f>IFERROR(__xludf.DUMMYFUNCTION("""COMPUTED_VALUE"""),"TE-Sanitário Paciente PCD Masculino")</f>
        <v>TE-Sanitário Paciente PCD Masculino</v>
      </c>
      <c r="B473" s="108" t="str">
        <f>IFERROR(__xludf.DUMMYFUNCTION("""COMPUTED_VALUE"""),"Terreo")</f>
        <v>Terreo</v>
      </c>
      <c r="C473" s="108" t="str">
        <f>IFERROR(__xludf.DUMMYFUNCTION("""COMPUTED_VALUE"""),"Sanitário Paciente PCD Masculino")</f>
        <v>Sanitário Paciente PCD Masculino</v>
      </c>
      <c r="D473" s="108" t="str">
        <f>IFERROR(__xludf.DUMMYFUNCTION("""COMPUTED_VALUE"""),"TE")</f>
        <v>TE</v>
      </c>
      <c r="E473" s="108" t="str">
        <f>IFERROR(__xludf.DUMMYFUNCTION("""COMPUTED_VALUE"""),"A")</f>
        <v>A</v>
      </c>
      <c r="F473" s="108">
        <f>IFERROR(__xludf.DUMMYFUNCTION("""COMPUTED_VALUE"""),43.0)</f>
        <v>43</v>
      </c>
      <c r="G473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cd84a9bfd4ca4768a640c67e019a16e7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cd84a9bfd4ca4768a640c67e019a16e7&amp;showComments=1&amp;guid=6882be48-6626-5238-d3df-94e9f0a0019d</v>
      </c>
      <c r="H473" s="108" t="str">
        <f>IFERROR(__xludf.DUMMYFUNCTION("""COMPUTED_VALUE"""),"Sanitário")</f>
        <v>Sanitário</v>
      </c>
      <c r="I473" s="108"/>
      <c r="J473" s="108"/>
    </row>
    <row r="474">
      <c r="A474" s="109" t="str">
        <f>IFERROR(__xludf.DUMMYFUNCTION("""COMPUTED_VALUE"""),"TE-Sanitário Público Feminino")</f>
        <v>TE-Sanitário Público Feminino</v>
      </c>
      <c r="B474" s="108" t="str">
        <f>IFERROR(__xludf.DUMMYFUNCTION("""COMPUTED_VALUE"""),"Terreo")</f>
        <v>Terreo</v>
      </c>
      <c r="C474" s="108" t="str">
        <f>IFERROR(__xludf.DUMMYFUNCTION("""COMPUTED_VALUE"""),"Sanitário Público Feminino")</f>
        <v>Sanitário Público Feminino</v>
      </c>
      <c r="D474" s="108" t="str">
        <f>IFERROR(__xludf.DUMMYFUNCTION("""COMPUTED_VALUE"""),"TE")</f>
        <v>TE</v>
      </c>
      <c r="E474" s="108" t="str">
        <f>IFERROR(__xludf.DUMMYFUNCTION("""COMPUTED_VALUE"""),"A")</f>
        <v>A</v>
      </c>
      <c r="F474" s="108">
        <f>IFERROR(__xludf.DUMMYFUNCTION("""COMPUTED_VALUE"""),6.0)</f>
        <v>6</v>
      </c>
      <c r="G474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f04e62f4f7f94f1db1f5a10626b443b7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f04e62f4f7f94f1db1f5a10626b443b7&amp;showComments=1&amp;guid=6882be48-6626-5238-d3df-94e9f0a0019d</v>
      </c>
      <c r="H474" s="108" t="str">
        <f>IFERROR(__xludf.DUMMYFUNCTION("""COMPUTED_VALUE"""),"Sanitário")</f>
        <v>Sanitário</v>
      </c>
      <c r="I474" s="108"/>
      <c r="J474" s="108"/>
    </row>
    <row r="475">
      <c r="A475" s="109" t="str">
        <f>IFERROR(__xludf.DUMMYFUNCTION("""COMPUTED_VALUE"""),"TE-Sanitário Publico Masculino")</f>
        <v>TE-Sanitário Publico Masculino</v>
      </c>
      <c r="B475" s="108" t="str">
        <f>IFERROR(__xludf.DUMMYFUNCTION("""COMPUTED_VALUE"""),"Terreo")</f>
        <v>Terreo</v>
      </c>
      <c r="C475" s="108" t="str">
        <f>IFERROR(__xludf.DUMMYFUNCTION("""COMPUTED_VALUE"""),"Sanitário Publico Masculino")</f>
        <v>Sanitário Publico Masculino</v>
      </c>
      <c r="D475" s="108" t="str">
        <f>IFERROR(__xludf.DUMMYFUNCTION("""COMPUTED_VALUE"""),"TE")</f>
        <v>TE</v>
      </c>
      <c r="E475" s="108" t="str">
        <f>IFERROR(__xludf.DUMMYFUNCTION("""COMPUTED_VALUE"""),"A")</f>
        <v>A</v>
      </c>
      <c r="F475" s="108">
        <f>IFERROR(__xludf.DUMMYFUNCTION("""COMPUTED_VALUE"""),5.0)</f>
        <v>5</v>
      </c>
      <c r="G475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425d5f9367374d7a814891b9196d7e4e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425d5f9367374d7a814891b9196d7e4e&amp;showComments=1&amp;guid=6882be48-6626-5238-d3df-94e9f0a0019d</v>
      </c>
      <c r="H475" s="108" t="str">
        <f>IFERROR(__xludf.DUMMYFUNCTION("""COMPUTED_VALUE"""),"Sanitário")</f>
        <v>Sanitário</v>
      </c>
      <c r="I475" s="108"/>
      <c r="J475" s="108"/>
    </row>
    <row r="476">
      <c r="A476" s="109" t="str">
        <f>IFERROR(__xludf.DUMMYFUNCTION("""COMPUTED_VALUE"""),"TE-Sanitário Público PCD Feminino")</f>
        <v>TE-Sanitário Público PCD Feminino</v>
      </c>
      <c r="B476" s="108" t="str">
        <f>IFERROR(__xludf.DUMMYFUNCTION("""COMPUTED_VALUE"""),"Terreo")</f>
        <v>Terreo</v>
      </c>
      <c r="C476" s="108" t="str">
        <f>IFERROR(__xludf.DUMMYFUNCTION("""COMPUTED_VALUE"""),"Sanitário Público PCD Feminino")</f>
        <v>Sanitário Público PCD Feminino</v>
      </c>
      <c r="D476" s="108" t="str">
        <f>IFERROR(__xludf.DUMMYFUNCTION("""COMPUTED_VALUE"""),"TE")</f>
        <v>TE</v>
      </c>
      <c r="E476" s="108" t="str">
        <f>IFERROR(__xludf.DUMMYFUNCTION("""COMPUTED_VALUE"""),"A")</f>
        <v>A</v>
      </c>
      <c r="F476" s="108">
        <f>IFERROR(__xludf.DUMMYFUNCTION("""COMPUTED_VALUE"""),11.0)</f>
        <v>11</v>
      </c>
      <c r="G476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9229a3a92ab74eca81c97ab0d0fb5f54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9229a3a92ab74eca81c97ab0d0fb5f54&amp;showComments=1&amp;guid=6882be48-6626-5238-d3df-94e9f0a0019d</v>
      </c>
      <c r="H476" s="108" t="str">
        <f>IFERROR(__xludf.DUMMYFUNCTION("""COMPUTED_VALUE"""),"Sanitário")</f>
        <v>Sanitário</v>
      </c>
      <c r="I476" s="108"/>
      <c r="J476" s="108"/>
    </row>
    <row r="477">
      <c r="A477" s="109" t="str">
        <f>IFERROR(__xludf.DUMMYFUNCTION("""COMPUTED_VALUE"""),"TE-Sanitário Público PCD Masculino")</f>
        <v>TE-Sanitário Público PCD Masculino</v>
      </c>
      <c r="B477" s="108" t="str">
        <f>IFERROR(__xludf.DUMMYFUNCTION("""COMPUTED_VALUE"""),"Terreo")</f>
        <v>Terreo</v>
      </c>
      <c r="C477" s="108" t="str">
        <f>IFERROR(__xludf.DUMMYFUNCTION("""COMPUTED_VALUE"""),"Sanitário Público PCD Masculino")</f>
        <v>Sanitário Público PCD Masculino</v>
      </c>
      <c r="D477" s="108" t="str">
        <f>IFERROR(__xludf.DUMMYFUNCTION("""COMPUTED_VALUE"""),"TE")</f>
        <v>TE</v>
      </c>
      <c r="E477" s="108" t="str">
        <f>IFERROR(__xludf.DUMMYFUNCTION("""COMPUTED_VALUE"""),"A")</f>
        <v>A</v>
      </c>
      <c r="F477" s="108">
        <f>IFERROR(__xludf.DUMMYFUNCTION("""COMPUTED_VALUE"""),10.0)</f>
        <v>10</v>
      </c>
      <c r="G477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0806ad2e7d00476998bb7712ede5feb0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0806ad2e7d00476998bb7712ede5feb0&amp;showComments=1&amp;guid=6882be48-6626-5238-d3df-94e9f0a0019d</v>
      </c>
      <c r="H477" s="108" t="str">
        <f>IFERROR(__xludf.DUMMYFUNCTION("""COMPUTED_VALUE"""),"Sanitário")</f>
        <v>Sanitário</v>
      </c>
      <c r="I477" s="108"/>
      <c r="J477" s="108"/>
    </row>
    <row r="478">
      <c r="A478" s="109" t="str">
        <f>IFERROR(__xludf.DUMMYFUNCTION("""COMPUTED_VALUE"""),"TE-Vestiário Paciente Feminino")</f>
        <v>TE-Vestiário Paciente Feminino</v>
      </c>
      <c r="B478" s="108" t="str">
        <f>IFERROR(__xludf.DUMMYFUNCTION("""COMPUTED_VALUE"""),"Terreo")</f>
        <v>Terreo</v>
      </c>
      <c r="C478" s="108" t="str">
        <f>IFERROR(__xludf.DUMMYFUNCTION("""COMPUTED_VALUE"""),"Vestiário Paciente Feminino")</f>
        <v>Vestiário Paciente Feminino</v>
      </c>
      <c r="D478" s="108" t="str">
        <f>IFERROR(__xludf.DUMMYFUNCTION("""COMPUTED_VALUE"""),"TE")</f>
        <v>TE</v>
      </c>
      <c r="E478" s="108" t="str">
        <f>IFERROR(__xludf.DUMMYFUNCTION("""COMPUTED_VALUE"""),"A")</f>
        <v>A</v>
      </c>
      <c r="F478" s="108">
        <f>IFERROR(__xludf.DUMMYFUNCTION("""COMPUTED_VALUE"""),41.0)</f>
        <v>41</v>
      </c>
      <c r="G478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showComments=1&amp;guid=6882b"&amp;"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showComments=1&amp;guid=6882be48-6626-5238-d3df-94e9f0a0019d</v>
      </c>
      <c r="H478" s="108" t="str">
        <f>IFERROR(__xludf.DUMMYFUNCTION("""COMPUTED_VALUE"""),"Vestiário")</f>
        <v>Vestiário</v>
      </c>
      <c r="I478" s="108"/>
      <c r="J478" s="108"/>
    </row>
    <row r="479">
      <c r="A479" s="109" t="str">
        <f>IFERROR(__xludf.DUMMYFUNCTION("""COMPUTED_VALUE"""),"TE-Vestiário Paciente Masculino")</f>
        <v>TE-Vestiário Paciente Masculino</v>
      </c>
      <c r="B479" s="108" t="str">
        <f>IFERROR(__xludf.DUMMYFUNCTION("""COMPUTED_VALUE"""),"Terreo")</f>
        <v>Terreo</v>
      </c>
      <c r="C479" s="108" t="str">
        <f>IFERROR(__xludf.DUMMYFUNCTION("""COMPUTED_VALUE"""),"Vestiário Paciente Masculino")</f>
        <v>Vestiário Paciente Masculino</v>
      </c>
      <c r="D479" s="108" t="str">
        <f>IFERROR(__xludf.DUMMYFUNCTION("""COMPUTED_VALUE"""),"TE")</f>
        <v>TE</v>
      </c>
      <c r="E479" s="108" t="str">
        <f>IFERROR(__xludf.DUMMYFUNCTION("""COMPUTED_VALUE"""),"A")</f>
        <v>A</v>
      </c>
      <c r="F479" s="108">
        <f>IFERROR(__xludf.DUMMYFUNCTION("""COMPUTED_VALUE"""),42.0)</f>
        <v>42</v>
      </c>
      <c r="G479" s="109" t="str">
        <f>IFERROR(__xludf.DUMMYFUNCTION("""COMPUTED_VALUE"""),"https://myhub.autodesk360.com/ue29d95bb/g/projects/20210514412106331/data/dXJuOmFkc2sud2lwcHJvZDpmcy5mb2xkZXI6Y28ucU04eGNtQzdReXliS0NURmJQYUFTQQ/dXJuOmFkc2sud2lwcHJvZDpkbS5saW5lYWdlOmxVNWxaQmx4VGZXNXZnbWNqenZqMkE/viewer?version=1&amp;commentId=urn:adsk.commen"&amp;"ts:social.comment:d13203bd7bc44050b35f47342d496929&amp;showComments=1&amp;guid=6882be48-6626-5238-d3df-94e9f0a0019d")</f>
        <v>https://myhub.autodesk360.com/ue29d95bb/g/projects/20210514412106331/data/dXJuOmFkc2sud2lwcHJvZDpmcy5mb2xkZXI6Y28ucU04eGNtQzdReXliS0NURmJQYUFTQQ/dXJuOmFkc2sud2lwcHJvZDpkbS5saW5lYWdlOmxVNWxaQmx4VGZXNXZnbWNqenZqMkE/viewer?version=1&amp;commentId=urn:adsk.comments:social.comment:d13203bd7bc44050b35f47342d496929&amp;showComments=1&amp;guid=6882be48-6626-5238-d3df-94e9f0a0019d</v>
      </c>
      <c r="H479" s="108" t="str">
        <f>IFERROR(__xludf.DUMMYFUNCTION("""COMPUTED_VALUE"""),"Vestiário")</f>
        <v>Vestiário</v>
      </c>
      <c r="I479" s="108"/>
      <c r="J479" s="108"/>
    </row>
    <row r="480">
      <c r="A480" s="108"/>
      <c r="B480" s="108"/>
      <c r="C480" s="108"/>
      <c r="D480" s="108"/>
      <c r="E480" s="108"/>
      <c r="F480" s="108"/>
      <c r="G480" s="108"/>
      <c r="H480" s="108"/>
      <c r="I480" s="108" t="str">
        <f>IFERROR(__xludf.DUMMYFUNCTION("""COMPUTED_VALUE"""),"Percentual")</f>
        <v>Percentual</v>
      </c>
      <c r="J480" s="108"/>
    </row>
    <row r="48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</row>
    <row r="482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</row>
    <row r="483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</row>
    <row r="484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</row>
    <row r="485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</row>
    <row r="486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</row>
    <row r="487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</row>
    <row r="488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</row>
    <row r="489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</row>
    <row r="490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</row>
    <row r="49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</row>
    <row r="492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</row>
    <row r="493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</row>
    <row r="494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</row>
    <row r="495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</row>
    <row r="496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</row>
    <row r="497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</row>
    <row r="498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</row>
    <row r="499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</row>
    <row r="500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</row>
    <row r="50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</row>
    <row r="502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</row>
    <row r="503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</row>
    <row r="504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</row>
    <row r="505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</row>
    <row r="506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</row>
    <row r="507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</row>
    <row r="508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</row>
    <row r="509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</row>
    <row r="510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</row>
    <row r="51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</row>
    <row r="512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</row>
    <row r="513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</row>
    <row r="514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</row>
    <row r="515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</row>
    <row r="516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</row>
    <row r="517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</row>
    <row r="518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</row>
    <row r="519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</row>
    <row r="520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</row>
    <row r="52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</row>
    <row r="522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</row>
    <row r="523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</row>
    <row r="524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</row>
    <row r="525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</row>
    <row r="526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</row>
    <row r="527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</row>
    <row r="528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</row>
    <row r="529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</row>
    <row r="530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</row>
    <row r="53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</row>
    <row r="532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</row>
    <row r="533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</row>
    <row r="534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</row>
    <row r="535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</row>
    <row r="536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</row>
    <row r="537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</row>
    <row r="538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</row>
    <row r="539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</row>
    <row r="540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</row>
    <row r="54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</row>
    <row r="542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</row>
    <row r="543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</row>
    <row r="544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</row>
    <row r="545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</row>
    <row r="546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</row>
    <row r="547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</row>
    <row r="548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</row>
    <row r="549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</row>
    <row r="550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</row>
    <row r="55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</row>
    <row r="552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</row>
    <row r="553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</row>
    <row r="554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</row>
    <row r="555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</row>
    <row r="556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</row>
    <row r="557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</row>
    <row r="558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</row>
    <row r="559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</row>
    <row r="560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</row>
    <row r="56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</row>
    <row r="562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</row>
    <row r="563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</row>
    <row r="564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</row>
    <row r="565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</row>
    <row r="566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</row>
    <row r="567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</row>
    <row r="568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</row>
    <row r="569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</row>
    <row r="570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</row>
    <row r="57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</row>
    <row r="572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</row>
    <row r="573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</row>
    <row r="574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</row>
    <row r="575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</row>
    <row r="576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</row>
    <row r="577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</row>
    <row r="578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</row>
    <row r="579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</row>
    <row r="580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</row>
    <row r="58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</row>
    <row r="582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</row>
    <row r="583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</row>
    <row r="584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</row>
    <row r="585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</row>
    <row r="586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</row>
    <row r="587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</row>
    <row r="588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</row>
    <row r="589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</row>
    <row r="590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</row>
    <row r="59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</row>
    <row r="592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</row>
    <row r="593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</row>
    <row r="594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</row>
    <row r="595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</row>
    <row r="596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</row>
    <row r="597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</row>
    <row r="598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</row>
    <row r="599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</row>
    <row r="600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</row>
    <row r="60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</row>
    <row r="602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</row>
    <row r="603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</row>
    <row r="604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</row>
    <row r="605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</row>
    <row r="606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</row>
    <row r="607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</row>
    <row r="608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</row>
    <row r="609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</row>
    <row r="610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</row>
    <row r="61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</row>
    <row r="612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</row>
    <row r="613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</row>
    <row r="614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</row>
    <row r="615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</row>
    <row r="616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</row>
    <row r="617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</row>
    <row r="618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</row>
    <row r="619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</row>
    <row r="620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</row>
    <row r="62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</row>
    <row r="622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</row>
    <row r="623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</row>
    <row r="624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</row>
    <row r="625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</row>
    <row r="626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</row>
    <row r="627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</row>
    <row r="628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</row>
    <row r="629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</row>
    <row r="630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</row>
    <row r="63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</row>
    <row r="632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</row>
    <row r="633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</row>
    <row r="634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</row>
    <row r="635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</row>
    <row r="636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</row>
    <row r="637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</row>
    <row r="638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</row>
    <row r="639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</row>
    <row r="640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</row>
    <row r="64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</row>
    <row r="642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</row>
    <row r="643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</row>
    <row r="644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</row>
    <row r="645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</row>
    <row r="646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</row>
    <row r="647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</row>
    <row r="648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</row>
    <row r="649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</row>
    <row r="650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</row>
    <row r="65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</row>
    <row r="652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</row>
    <row r="653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</row>
    <row r="654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</row>
    <row r="655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</row>
    <row r="656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</row>
    <row r="657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</row>
    <row r="658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</row>
    <row r="659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</row>
    <row r="660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</row>
    <row r="66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</row>
    <row r="662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</row>
    <row r="663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</row>
    <row r="664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</row>
    <row r="665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</row>
    <row r="666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</row>
    <row r="667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</row>
    <row r="668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</row>
    <row r="669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</row>
    <row r="670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</row>
    <row r="67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</row>
    <row r="672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</row>
    <row r="673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</row>
    <row r="674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</row>
    <row r="675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</row>
    <row r="676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</row>
    <row r="677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</row>
    <row r="678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</row>
    <row r="679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</row>
    <row r="680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</row>
    <row r="68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</row>
    <row r="682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</row>
    <row r="683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</row>
    <row r="684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</row>
    <row r="685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</row>
    <row r="686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</row>
    <row r="687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</row>
    <row r="688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</row>
    <row r="689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</row>
    <row r="690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</row>
    <row r="69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</row>
    <row r="692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</row>
    <row r="693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</row>
    <row r="694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</row>
    <row r="695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</row>
    <row r="696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</row>
    <row r="697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</row>
    <row r="698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</row>
    <row r="699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</row>
    <row r="700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</row>
    <row r="70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</row>
    <row r="702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</row>
    <row r="703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</row>
    <row r="704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</row>
    <row r="705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</row>
    <row r="706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</row>
    <row r="707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</row>
    <row r="708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</row>
    <row r="709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</row>
    <row r="710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</row>
    <row r="71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</row>
    <row r="712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</row>
    <row r="713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</row>
    <row r="714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</row>
    <row r="715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</row>
    <row r="716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</row>
    <row r="717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</row>
    <row r="718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</row>
    <row r="719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</row>
    <row r="720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</row>
    <row r="72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</row>
    <row r="722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</row>
    <row r="723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</row>
    <row r="724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</row>
    <row r="725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</row>
    <row r="726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</row>
    <row r="727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</row>
    <row r="728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</row>
    <row r="729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</row>
    <row r="730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</row>
    <row r="73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</row>
    <row r="732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</row>
    <row r="733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</row>
    <row r="734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</row>
    <row r="735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</row>
    <row r="736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</row>
    <row r="737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</row>
    <row r="738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</row>
    <row r="739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</row>
    <row r="740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</row>
    <row r="74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</row>
    <row r="742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</row>
    <row r="743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</row>
    <row r="744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</row>
    <row r="745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</row>
    <row r="746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</row>
    <row r="747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</row>
    <row r="748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</row>
    <row r="749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</row>
    <row r="750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</row>
    <row r="75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</row>
    <row r="752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</row>
    <row r="753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</row>
    <row r="754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</row>
    <row r="755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</row>
    <row r="756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</row>
    <row r="757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</row>
    <row r="758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</row>
    <row r="759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</row>
    <row r="760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</row>
    <row r="76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</row>
    <row r="762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</row>
    <row r="763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</row>
    <row r="764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</row>
    <row r="765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</row>
    <row r="766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</row>
    <row r="767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</row>
    <row r="768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</row>
    <row r="769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</row>
    <row r="770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</row>
    <row r="77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</row>
    <row r="772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</row>
    <row r="773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</row>
    <row r="774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</row>
    <row r="775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</row>
    <row r="776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</row>
    <row r="777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</row>
    <row r="778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</row>
    <row r="779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</row>
    <row r="780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</row>
    <row r="78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</row>
    <row r="782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</row>
    <row r="783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</row>
    <row r="784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</row>
    <row r="785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</row>
    <row r="786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</row>
    <row r="787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</row>
    <row r="788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</row>
    <row r="789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</row>
    <row r="790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</row>
    <row r="79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</row>
    <row r="792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</row>
    <row r="793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</row>
    <row r="794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</row>
    <row r="795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</row>
    <row r="796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</row>
    <row r="797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</row>
    <row r="798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</row>
    <row r="799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</row>
    <row r="800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</row>
    <row r="80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</row>
    <row r="802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</row>
    <row r="803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</row>
    <row r="804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</row>
    <row r="805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</row>
    <row r="806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</row>
    <row r="807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</row>
    <row r="808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</row>
    <row r="809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</row>
    <row r="810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</row>
    <row r="81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</row>
    <row r="812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</row>
    <row r="813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</row>
    <row r="814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</row>
    <row r="815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</row>
    <row r="816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</row>
    <row r="817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</row>
    <row r="818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</row>
    <row r="819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</row>
    <row r="820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</row>
    <row r="82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</row>
    <row r="822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</row>
    <row r="823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</row>
    <row r="824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</row>
    <row r="825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</row>
    <row r="826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</row>
    <row r="827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</row>
    <row r="828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</row>
    <row r="829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</row>
    <row r="830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</row>
    <row r="83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</row>
    <row r="832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</row>
    <row r="833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</row>
    <row r="834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</row>
    <row r="835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</row>
    <row r="836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</row>
    <row r="837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</row>
    <row r="838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</row>
    <row r="839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</row>
    <row r="840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</row>
    <row r="84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</row>
    <row r="842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</row>
    <row r="843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</row>
    <row r="844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</row>
    <row r="845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</row>
    <row r="846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</row>
    <row r="847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</row>
    <row r="848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</row>
    <row r="849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</row>
    <row r="850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</row>
    <row r="85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</row>
    <row r="852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</row>
    <row r="853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</row>
    <row r="854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</row>
    <row r="855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</row>
    <row r="856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</row>
    <row r="857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</row>
    <row r="858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</row>
    <row r="859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</row>
    <row r="860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</row>
    <row r="86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</row>
    <row r="862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</row>
    <row r="863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</row>
    <row r="864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</row>
    <row r="865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</row>
    <row r="866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</row>
    <row r="867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</row>
    <row r="868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</row>
    <row r="869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</row>
    <row r="870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</row>
    <row r="87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</row>
    <row r="872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</row>
    <row r="873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</row>
    <row r="874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</row>
    <row r="875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</row>
    <row r="876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</row>
    <row r="877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</row>
    <row r="878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</row>
    <row r="879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</row>
    <row r="880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</row>
    <row r="88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</row>
    <row r="882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</row>
    <row r="883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</row>
    <row r="884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</row>
    <row r="885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</row>
    <row r="886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</row>
    <row r="887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</row>
    <row r="888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</row>
    <row r="889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</row>
    <row r="890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</row>
    <row r="89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</row>
    <row r="892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</row>
    <row r="893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</row>
    <row r="894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</row>
    <row r="895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</row>
    <row r="896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</row>
    <row r="897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</row>
    <row r="898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</row>
    <row r="899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</row>
    <row r="900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</row>
    <row r="90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</row>
    <row r="902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</row>
    <row r="903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</row>
    <row r="904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</row>
    <row r="905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</row>
    <row r="906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</row>
    <row r="907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</row>
    <row r="908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</row>
    <row r="909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</row>
    <row r="910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</row>
    <row r="91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</row>
    <row r="912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</row>
    <row r="913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</row>
    <row r="914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</row>
    <row r="915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</row>
    <row r="916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</row>
    <row r="917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</row>
    <row r="918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</row>
    <row r="919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</row>
    <row r="920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</row>
    <row r="92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</row>
    <row r="922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</row>
    <row r="923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</row>
    <row r="924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</row>
    <row r="925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</row>
    <row r="926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</row>
    <row r="927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</row>
    <row r="928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</row>
    <row r="929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</row>
    <row r="930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</row>
    <row r="93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</row>
    <row r="932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</row>
    <row r="933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</row>
    <row r="934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</row>
    <row r="935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</row>
    <row r="936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</row>
    <row r="937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</row>
    <row r="938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</row>
    <row r="939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</row>
    <row r="940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</row>
    <row r="94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</row>
    <row r="942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</row>
    <row r="943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</row>
    <row r="944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</row>
    <row r="945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</row>
    <row r="946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</row>
    <row r="947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</row>
    <row r="948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</row>
    <row r="949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</row>
    <row r="950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</row>
    <row r="95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</row>
    <row r="952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</row>
    <row r="953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</row>
    <row r="954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</row>
    <row r="955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</row>
    <row r="956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</row>
    <row r="957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</row>
    <row r="958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</row>
    <row r="959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</row>
    <row r="960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</row>
    <row r="96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</row>
    <row r="962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</row>
    <row r="963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</row>
    <row r="964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</row>
    <row r="965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</row>
    <row r="966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</row>
    <row r="967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</row>
    <row r="968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</row>
    <row r="969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</row>
    <row r="970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</row>
    <row r="97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</row>
    <row r="972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</row>
    <row r="973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</row>
    <row r="974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</row>
    <row r="975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</row>
    <row r="976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</row>
    <row r="977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</row>
    <row r="978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</row>
    <row r="979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</row>
    <row r="980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</row>
    <row r="98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</row>
    <row r="982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</row>
    <row r="983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</row>
    <row r="984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</row>
    <row r="98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</row>
    <row r="986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</row>
    <row r="987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</row>
    <row r="988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</row>
    <row r="989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</row>
    <row r="990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</row>
    <row r="99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</row>
    <row r="992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</row>
    <row r="993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</row>
    <row r="994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</row>
    <row r="995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</row>
    <row r="996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</row>
    <row r="997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</row>
    <row r="998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</row>
    <row r="999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</row>
    <row r="1000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</row>
  </sheetData>
  <hyperlinks>
    <hyperlink r:id="rId1" location="gid=1423359740&amp;range=A1" ref="A1"/>
    <hyperlink display="Tipo" location="null!A1" ref="H2"/>
    <hyperlink r:id="rId2" ref="A3"/>
    <hyperlink r:id="rId3" ref="G3"/>
    <hyperlink r:id="rId4" ref="I3"/>
    <hyperlink r:id="rId5" ref="A4"/>
    <hyperlink r:id="rId6" ref="G4"/>
    <hyperlink r:id="rId7" ref="A5"/>
    <hyperlink r:id="rId8" ref="G5"/>
    <hyperlink r:id="rId9" ref="A6"/>
    <hyperlink r:id="rId10" ref="G6"/>
    <hyperlink r:id="rId11" ref="I6"/>
    <hyperlink r:id="rId12" ref="A7"/>
    <hyperlink r:id="rId13" ref="G7"/>
    <hyperlink r:id="rId14" ref="I7"/>
    <hyperlink r:id="rId15" ref="A8"/>
    <hyperlink r:id="rId16" ref="G8"/>
    <hyperlink r:id="rId17" ref="I8"/>
    <hyperlink r:id="rId18" ref="A9"/>
    <hyperlink r:id="rId19" ref="G9"/>
    <hyperlink r:id="rId20" ref="I9"/>
    <hyperlink r:id="rId21" ref="A10"/>
    <hyperlink r:id="rId22" ref="G10"/>
    <hyperlink r:id="rId23" ref="A11"/>
    <hyperlink r:id="rId24" ref="G11"/>
    <hyperlink r:id="rId25" ref="I11"/>
    <hyperlink r:id="rId26" ref="A12"/>
    <hyperlink r:id="rId27" ref="G12"/>
    <hyperlink r:id="rId28" ref="A13"/>
    <hyperlink r:id="rId29" ref="G13"/>
    <hyperlink r:id="rId30" ref="A14"/>
    <hyperlink r:id="rId31" ref="G14"/>
    <hyperlink r:id="rId32" ref="A15"/>
    <hyperlink r:id="rId33" ref="G15"/>
    <hyperlink r:id="rId34" ref="A16"/>
    <hyperlink r:id="rId35" ref="G16"/>
    <hyperlink r:id="rId36" ref="A17"/>
    <hyperlink r:id="rId37" ref="G17"/>
    <hyperlink r:id="rId38" ref="I17"/>
    <hyperlink r:id="rId39" ref="A18"/>
    <hyperlink r:id="rId40" ref="G18"/>
    <hyperlink r:id="rId41" ref="I18"/>
    <hyperlink r:id="rId42" ref="A19"/>
    <hyperlink r:id="rId43" ref="G19"/>
    <hyperlink r:id="rId44" ref="A20"/>
    <hyperlink r:id="rId45" ref="G20"/>
    <hyperlink r:id="rId46" ref="A21"/>
    <hyperlink r:id="rId47" ref="G21"/>
    <hyperlink r:id="rId48" ref="A22"/>
    <hyperlink r:id="rId49" ref="G22"/>
    <hyperlink r:id="rId50" ref="A23"/>
    <hyperlink r:id="rId51" ref="G23"/>
    <hyperlink r:id="rId52" ref="A24"/>
    <hyperlink r:id="rId53" ref="G24"/>
    <hyperlink r:id="rId54" ref="A25"/>
    <hyperlink r:id="rId55" ref="G25"/>
    <hyperlink r:id="rId56" ref="I25"/>
    <hyperlink r:id="rId57" ref="A26"/>
    <hyperlink r:id="rId58" ref="G26"/>
    <hyperlink r:id="rId59" ref="I26"/>
    <hyperlink r:id="rId60" ref="A27"/>
    <hyperlink r:id="rId61" ref="G27"/>
    <hyperlink r:id="rId62" ref="I27"/>
    <hyperlink r:id="rId63" ref="A28"/>
    <hyperlink r:id="rId64" ref="G28"/>
    <hyperlink r:id="rId65" ref="A29"/>
    <hyperlink r:id="rId66" ref="G29"/>
    <hyperlink r:id="rId67" ref="A30"/>
    <hyperlink r:id="rId68" ref="G30"/>
    <hyperlink r:id="rId69" ref="A31"/>
    <hyperlink r:id="rId70" ref="G31"/>
    <hyperlink r:id="rId71" ref="A32"/>
    <hyperlink r:id="rId72" ref="G32"/>
    <hyperlink r:id="rId73" ref="A33"/>
    <hyperlink r:id="rId74" ref="G33"/>
    <hyperlink r:id="rId75" ref="A34"/>
    <hyperlink r:id="rId76" ref="G34"/>
    <hyperlink r:id="rId77" ref="A35"/>
    <hyperlink r:id="rId78" ref="G35"/>
    <hyperlink r:id="rId79" ref="A36"/>
    <hyperlink r:id="rId80" ref="G36"/>
    <hyperlink r:id="rId81" ref="A37"/>
    <hyperlink r:id="rId82" ref="G37"/>
    <hyperlink r:id="rId83" ref="A38"/>
    <hyperlink r:id="rId84" ref="G38"/>
    <hyperlink r:id="rId85" ref="I38"/>
    <hyperlink r:id="rId86" ref="A39"/>
    <hyperlink r:id="rId87" ref="G39"/>
    <hyperlink r:id="rId88" ref="I39"/>
    <hyperlink r:id="rId89" ref="A40"/>
    <hyperlink r:id="rId90" ref="G40"/>
    <hyperlink r:id="rId91" ref="I40"/>
    <hyperlink r:id="rId92" ref="A41"/>
    <hyperlink r:id="rId93" ref="G41"/>
    <hyperlink r:id="rId94" ref="A42"/>
    <hyperlink r:id="rId95" ref="G42"/>
    <hyperlink r:id="rId96" ref="I42"/>
    <hyperlink r:id="rId97" ref="A43"/>
    <hyperlink r:id="rId98" ref="G43"/>
    <hyperlink r:id="rId99" ref="A44"/>
    <hyperlink r:id="rId100" ref="G44"/>
    <hyperlink r:id="rId101" ref="I44"/>
    <hyperlink r:id="rId102" ref="A45"/>
    <hyperlink r:id="rId103" ref="G45"/>
    <hyperlink r:id="rId104" ref="A46"/>
    <hyperlink r:id="rId105" ref="G46"/>
    <hyperlink r:id="rId106" ref="I46"/>
    <hyperlink r:id="rId107" ref="A47"/>
    <hyperlink r:id="rId108" ref="G47"/>
    <hyperlink r:id="rId109" ref="A48"/>
    <hyperlink r:id="rId110" ref="G48"/>
    <hyperlink r:id="rId111" ref="A49"/>
    <hyperlink r:id="rId112" ref="G49"/>
    <hyperlink r:id="rId113" ref="I49"/>
    <hyperlink r:id="rId114" ref="A50"/>
    <hyperlink r:id="rId115" ref="G50"/>
    <hyperlink r:id="rId116" ref="I50"/>
    <hyperlink r:id="rId117" ref="A51"/>
    <hyperlink r:id="rId118" ref="G51"/>
    <hyperlink r:id="rId119" ref="I51"/>
    <hyperlink r:id="rId120" ref="A52"/>
    <hyperlink r:id="rId121" ref="G52"/>
    <hyperlink r:id="rId122" ref="A53"/>
    <hyperlink r:id="rId123" ref="G53"/>
    <hyperlink r:id="rId124" ref="A54"/>
    <hyperlink r:id="rId125" ref="G54"/>
    <hyperlink r:id="rId126" ref="A55"/>
    <hyperlink r:id="rId127" ref="G55"/>
    <hyperlink r:id="rId128" ref="A56"/>
    <hyperlink r:id="rId129" ref="G56"/>
    <hyperlink r:id="rId130" ref="A57"/>
    <hyperlink r:id="rId131" ref="G57"/>
    <hyperlink r:id="rId132" ref="A58"/>
    <hyperlink r:id="rId133" ref="G58"/>
    <hyperlink r:id="rId134" ref="A59"/>
    <hyperlink r:id="rId135" ref="G59"/>
    <hyperlink r:id="rId136" ref="A60"/>
    <hyperlink r:id="rId137" ref="G60"/>
    <hyperlink r:id="rId138" ref="A61"/>
    <hyperlink r:id="rId139" ref="G61"/>
    <hyperlink r:id="rId140" ref="A62"/>
    <hyperlink r:id="rId141" ref="G62"/>
    <hyperlink r:id="rId142" ref="A63"/>
    <hyperlink r:id="rId143" ref="G63"/>
    <hyperlink r:id="rId144" ref="A64"/>
    <hyperlink r:id="rId145" ref="G64"/>
    <hyperlink r:id="rId146" ref="A65"/>
    <hyperlink r:id="rId147" ref="G65"/>
    <hyperlink r:id="rId148" ref="A66"/>
    <hyperlink r:id="rId149" ref="G66"/>
    <hyperlink r:id="rId150" ref="I66"/>
    <hyperlink r:id="rId151" ref="A67"/>
    <hyperlink r:id="rId152" ref="G67"/>
    <hyperlink r:id="rId153" ref="A68"/>
    <hyperlink r:id="rId154" ref="G68"/>
    <hyperlink r:id="rId155" ref="A69"/>
    <hyperlink r:id="rId156" ref="G69"/>
    <hyperlink r:id="rId157" ref="A70"/>
    <hyperlink r:id="rId158" ref="G70"/>
    <hyperlink r:id="rId159" ref="A71"/>
    <hyperlink r:id="rId160" ref="G71"/>
    <hyperlink r:id="rId161" ref="A72"/>
    <hyperlink r:id="rId162" ref="G72"/>
    <hyperlink r:id="rId163" ref="A73"/>
    <hyperlink r:id="rId164" ref="G73"/>
    <hyperlink r:id="rId165" ref="A74"/>
    <hyperlink r:id="rId166" ref="G74"/>
    <hyperlink r:id="rId167" ref="A75"/>
    <hyperlink r:id="rId168" ref="G75"/>
    <hyperlink r:id="rId169" ref="A76"/>
    <hyperlink r:id="rId170" ref="G76"/>
    <hyperlink r:id="rId171" ref="A77"/>
    <hyperlink r:id="rId172" ref="G77"/>
    <hyperlink r:id="rId173" ref="A78"/>
    <hyperlink r:id="rId174" ref="G78"/>
    <hyperlink r:id="rId175" ref="A79"/>
    <hyperlink r:id="rId176" ref="G79"/>
    <hyperlink r:id="rId177" ref="A80"/>
    <hyperlink r:id="rId178" ref="G80"/>
    <hyperlink r:id="rId179" ref="A81"/>
    <hyperlink r:id="rId180" ref="G81"/>
    <hyperlink r:id="rId181" ref="A82"/>
    <hyperlink r:id="rId182" ref="G82"/>
    <hyperlink r:id="rId183" ref="A83"/>
    <hyperlink r:id="rId184" ref="G83"/>
    <hyperlink r:id="rId185" ref="A84"/>
    <hyperlink r:id="rId186" ref="G84"/>
    <hyperlink r:id="rId187" ref="A85"/>
    <hyperlink r:id="rId188" ref="G85"/>
    <hyperlink r:id="rId189" ref="A86"/>
    <hyperlink r:id="rId190" ref="G86"/>
    <hyperlink r:id="rId191" ref="A87"/>
    <hyperlink r:id="rId192" ref="G87"/>
    <hyperlink r:id="rId193" ref="A88"/>
    <hyperlink r:id="rId194" ref="G88"/>
    <hyperlink r:id="rId195" ref="A89"/>
    <hyperlink r:id="rId196" ref="G89"/>
    <hyperlink r:id="rId197" ref="A90"/>
    <hyperlink r:id="rId198" ref="G90"/>
    <hyperlink r:id="rId199" ref="A91"/>
    <hyperlink r:id="rId200" ref="G91"/>
    <hyperlink r:id="rId201" ref="A92"/>
    <hyperlink r:id="rId202" ref="G92"/>
    <hyperlink r:id="rId203" ref="I92"/>
    <hyperlink r:id="rId204" ref="A93"/>
    <hyperlink r:id="rId205" ref="G93"/>
    <hyperlink r:id="rId206" ref="A94"/>
    <hyperlink r:id="rId207" ref="G94"/>
    <hyperlink r:id="rId208" ref="A95"/>
    <hyperlink r:id="rId209" ref="G95"/>
    <hyperlink r:id="rId210" ref="A96"/>
    <hyperlink r:id="rId211" ref="G96"/>
    <hyperlink r:id="rId212" ref="A97"/>
    <hyperlink r:id="rId213" ref="G97"/>
    <hyperlink r:id="rId214" ref="A98"/>
    <hyperlink r:id="rId215" ref="G98"/>
    <hyperlink r:id="rId216" ref="A99"/>
    <hyperlink r:id="rId217" ref="G99"/>
    <hyperlink r:id="rId218" ref="A100"/>
    <hyperlink r:id="rId219" ref="G100"/>
    <hyperlink r:id="rId220" ref="A101"/>
    <hyperlink r:id="rId221" ref="G101"/>
    <hyperlink r:id="rId222" ref="A102"/>
    <hyperlink r:id="rId223" ref="G102"/>
    <hyperlink r:id="rId224" ref="I102"/>
    <hyperlink r:id="rId225" ref="A103"/>
    <hyperlink r:id="rId226" ref="G103"/>
    <hyperlink r:id="rId227" ref="I103"/>
    <hyperlink r:id="rId228" ref="A104"/>
    <hyperlink r:id="rId229" ref="G104"/>
    <hyperlink r:id="rId230" ref="I104"/>
    <hyperlink r:id="rId231" ref="A105"/>
    <hyperlink r:id="rId232" ref="G105"/>
    <hyperlink r:id="rId233" ref="I105"/>
    <hyperlink r:id="rId234" ref="A106"/>
    <hyperlink r:id="rId235" ref="G106"/>
    <hyperlink r:id="rId236" ref="I106"/>
    <hyperlink r:id="rId237" ref="A107"/>
    <hyperlink r:id="rId238" ref="G107"/>
    <hyperlink r:id="rId239" ref="I107"/>
    <hyperlink r:id="rId240" ref="A108"/>
    <hyperlink r:id="rId241" ref="G108"/>
    <hyperlink r:id="rId242" ref="A109"/>
    <hyperlink r:id="rId243" ref="G109"/>
    <hyperlink r:id="rId244" ref="A110"/>
    <hyperlink r:id="rId245" ref="G110"/>
    <hyperlink r:id="rId246" ref="A111"/>
    <hyperlink r:id="rId247" ref="G111"/>
    <hyperlink r:id="rId248" ref="I111"/>
    <hyperlink r:id="rId249" ref="A112"/>
    <hyperlink r:id="rId250" ref="G112"/>
    <hyperlink r:id="rId251" ref="I112"/>
    <hyperlink r:id="rId252" ref="A113"/>
    <hyperlink r:id="rId253" ref="G113"/>
    <hyperlink r:id="rId254" ref="A114"/>
    <hyperlink r:id="rId255" ref="G114"/>
    <hyperlink r:id="rId256" ref="A115"/>
    <hyperlink r:id="rId257" ref="G115"/>
    <hyperlink r:id="rId258" ref="A116"/>
    <hyperlink r:id="rId259" ref="G116"/>
    <hyperlink r:id="rId260" ref="I116"/>
    <hyperlink r:id="rId261" ref="A117"/>
    <hyperlink r:id="rId262" ref="G117"/>
    <hyperlink r:id="rId263" ref="A118"/>
    <hyperlink r:id="rId264" ref="G118"/>
    <hyperlink r:id="rId265" ref="I118"/>
    <hyperlink r:id="rId266" ref="A119"/>
    <hyperlink r:id="rId267" ref="G119"/>
    <hyperlink r:id="rId268" ref="I119"/>
    <hyperlink r:id="rId269" ref="A120"/>
    <hyperlink r:id="rId270" ref="G120"/>
    <hyperlink r:id="rId271" ref="A121"/>
    <hyperlink r:id="rId272" ref="G121"/>
    <hyperlink r:id="rId273" ref="A122"/>
    <hyperlink r:id="rId274" ref="G122"/>
    <hyperlink r:id="rId275" ref="A123"/>
    <hyperlink r:id="rId276" ref="G123"/>
    <hyperlink r:id="rId277" ref="A124"/>
    <hyperlink r:id="rId278" ref="G124"/>
    <hyperlink r:id="rId279" ref="A125"/>
    <hyperlink r:id="rId280" ref="G125"/>
    <hyperlink r:id="rId281" ref="A126"/>
    <hyperlink r:id="rId282" ref="G126"/>
    <hyperlink r:id="rId283" ref="A127"/>
    <hyperlink r:id="rId284" ref="G127"/>
    <hyperlink r:id="rId285" ref="A128"/>
    <hyperlink r:id="rId286" ref="G128"/>
    <hyperlink r:id="rId287" ref="A129"/>
    <hyperlink r:id="rId288" ref="G129"/>
    <hyperlink r:id="rId289" ref="A130"/>
    <hyperlink r:id="rId290" ref="G130"/>
    <hyperlink r:id="rId291" ref="I130"/>
    <hyperlink r:id="rId292" ref="A131"/>
    <hyperlink r:id="rId293" ref="G131"/>
    <hyperlink r:id="rId294" ref="A132"/>
    <hyperlink r:id="rId295" ref="G132"/>
    <hyperlink r:id="rId296" ref="A133"/>
    <hyperlink r:id="rId297" ref="G133"/>
    <hyperlink r:id="rId298" ref="A134"/>
    <hyperlink r:id="rId299" ref="G134"/>
    <hyperlink r:id="rId300" ref="A135"/>
    <hyperlink r:id="rId301" ref="G135"/>
    <hyperlink r:id="rId302" ref="I135"/>
    <hyperlink r:id="rId303" ref="A136"/>
    <hyperlink r:id="rId304" ref="G136"/>
    <hyperlink r:id="rId305" ref="A137"/>
    <hyperlink r:id="rId306" ref="G137"/>
    <hyperlink r:id="rId307" ref="I137"/>
    <hyperlink r:id="rId308" ref="A138"/>
    <hyperlink r:id="rId309" ref="G138"/>
    <hyperlink r:id="rId310" ref="A139"/>
    <hyperlink r:id="rId311" ref="G139"/>
    <hyperlink r:id="rId312" ref="A140"/>
    <hyperlink r:id="rId313" ref="G140"/>
    <hyperlink r:id="rId314" ref="I140"/>
    <hyperlink r:id="rId315" ref="A141"/>
    <hyperlink r:id="rId316" ref="G141"/>
    <hyperlink r:id="rId317" ref="A142"/>
    <hyperlink r:id="rId318" ref="G142"/>
    <hyperlink r:id="rId319" ref="I142"/>
    <hyperlink r:id="rId320" ref="A143"/>
    <hyperlink r:id="rId321" ref="G143"/>
    <hyperlink r:id="rId322" ref="I143"/>
    <hyperlink r:id="rId323" ref="A144"/>
    <hyperlink r:id="rId324" ref="G144"/>
    <hyperlink r:id="rId325" ref="A145"/>
    <hyperlink r:id="rId326" ref="G145"/>
    <hyperlink r:id="rId327" ref="A146"/>
    <hyperlink r:id="rId328" ref="G146"/>
    <hyperlink r:id="rId329" ref="A147"/>
    <hyperlink r:id="rId330" ref="G147"/>
    <hyperlink r:id="rId331" ref="A148"/>
    <hyperlink r:id="rId332" ref="G148"/>
    <hyperlink r:id="rId333" ref="A149"/>
    <hyperlink r:id="rId334" ref="G149"/>
    <hyperlink r:id="rId335" ref="I149"/>
    <hyperlink r:id="rId336" ref="A150"/>
    <hyperlink r:id="rId337" ref="G150"/>
    <hyperlink r:id="rId338" ref="I150"/>
    <hyperlink r:id="rId339" ref="A151"/>
    <hyperlink r:id="rId340" ref="G151"/>
    <hyperlink r:id="rId341" ref="I151"/>
    <hyperlink r:id="rId342" ref="A152"/>
    <hyperlink r:id="rId343" ref="G152"/>
    <hyperlink r:id="rId344" ref="I152"/>
    <hyperlink r:id="rId345" ref="A153"/>
    <hyperlink r:id="rId346" ref="G153"/>
    <hyperlink r:id="rId347" ref="I153"/>
    <hyperlink r:id="rId348" ref="A154"/>
    <hyperlink r:id="rId349" ref="G154"/>
    <hyperlink r:id="rId350" ref="I154"/>
    <hyperlink r:id="rId351" ref="A181"/>
    <hyperlink r:id="rId352" ref="G181"/>
    <hyperlink r:id="rId353" ref="I181"/>
    <hyperlink r:id="rId354" ref="A182"/>
    <hyperlink r:id="rId355" ref="G182"/>
    <hyperlink r:id="rId356" ref="A183"/>
    <hyperlink r:id="rId357" ref="G183"/>
    <hyperlink r:id="rId358" ref="A184"/>
    <hyperlink r:id="rId359" ref="G184"/>
    <hyperlink r:id="rId360" ref="I184"/>
    <hyperlink r:id="rId361" ref="A185"/>
    <hyperlink r:id="rId362" ref="G185"/>
    <hyperlink r:id="rId363" ref="A186"/>
    <hyperlink r:id="rId364" ref="G186"/>
    <hyperlink r:id="rId365" ref="A187"/>
    <hyperlink r:id="rId366" ref="G187"/>
    <hyperlink r:id="rId367" ref="I187"/>
    <hyperlink r:id="rId368" ref="A188"/>
    <hyperlink r:id="rId369" ref="G188"/>
    <hyperlink r:id="rId370" ref="I188"/>
    <hyperlink r:id="rId371" ref="A189"/>
    <hyperlink r:id="rId372" ref="G189"/>
    <hyperlink r:id="rId373" ref="I189"/>
    <hyperlink r:id="rId374" ref="A190"/>
    <hyperlink r:id="rId375" ref="G190"/>
    <hyperlink r:id="rId376" ref="A191"/>
    <hyperlink r:id="rId377" ref="G191"/>
    <hyperlink r:id="rId378" ref="A192"/>
    <hyperlink r:id="rId379" ref="G192"/>
    <hyperlink r:id="rId380" ref="A193"/>
    <hyperlink r:id="rId381" ref="G193"/>
    <hyperlink r:id="rId382" ref="I193"/>
    <hyperlink r:id="rId383" ref="A194"/>
    <hyperlink r:id="rId384" ref="G194"/>
    <hyperlink r:id="rId385" ref="I194"/>
    <hyperlink r:id="rId386" ref="A195"/>
    <hyperlink r:id="rId387" ref="G195"/>
    <hyperlink r:id="rId388" ref="I195"/>
    <hyperlink r:id="rId389" ref="A196"/>
    <hyperlink r:id="rId390" ref="G196"/>
    <hyperlink r:id="rId391" ref="I196"/>
    <hyperlink r:id="rId392" ref="A197"/>
    <hyperlink r:id="rId393" ref="G197"/>
    <hyperlink r:id="rId394" ref="I197"/>
    <hyperlink r:id="rId395" ref="A198"/>
    <hyperlink r:id="rId396" ref="G198"/>
    <hyperlink r:id="rId397" ref="A199"/>
    <hyperlink r:id="rId398" ref="G199"/>
    <hyperlink r:id="rId399" ref="A200"/>
    <hyperlink r:id="rId400" ref="G200"/>
    <hyperlink r:id="rId401" ref="I200"/>
    <hyperlink r:id="rId402" ref="A201"/>
    <hyperlink r:id="rId403" ref="G201"/>
    <hyperlink r:id="rId404" ref="A202"/>
    <hyperlink r:id="rId405" ref="G202"/>
    <hyperlink r:id="rId406" ref="I202"/>
    <hyperlink r:id="rId407" ref="A203"/>
    <hyperlink r:id="rId408" ref="G203"/>
    <hyperlink r:id="rId409" ref="A204"/>
    <hyperlink r:id="rId410" ref="G204"/>
    <hyperlink r:id="rId411" ref="A205"/>
    <hyperlink r:id="rId412" ref="G205"/>
    <hyperlink r:id="rId413" ref="A206"/>
    <hyperlink r:id="rId414" ref="G206"/>
    <hyperlink r:id="rId415" ref="A207"/>
    <hyperlink r:id="rId416" ref="G207"/>
    <hyperlink r:id="rId417" ref="A208"/>
    <hyperlink r:id="rId418" ref="G208"/>
    <hyperlink r:id="rId419" ref="A209"/>
    <hyperlink r:id="rId420" ref="G209"/>
    <hyperlink r:id="rId421" ref="A210"/>
    <hyperlink r:id="rId422" ref="G210"/>
    <hyperlink r:id="rId423" ref="A211"/>
    <hyperlink r:id="rId424" ref="G211"/>
    <hyperlink r:id="rId425" ref="A212"/>
    <hyperlink r:id="rId426" ref="G212"/>
    <hyperlink r:id="rId427" ref="A213"/>
    <hyperlink r:id="rId428" ref="G213"/>
    <hyperlink r:id="rId429" ref="A214"/>
    <hyperlink r:id="rId430" ref="G214"/>
    <hyperlink r:id="rId431" ref="A215"/>
    <hyperlink r:id="rId432" ref="G215"/>
    <hyperlink r:id="rId433" ref="A216"/>
    <hyperlink r:id="rId434" ref="G216"/>
    <hyperlink r:id="rId435" ref="A217"/>
    <hyperlink r:id="rId436" ref="G217"/>
    <hyperlink r:id="rId437" ref="A218"/>
    <hyperlink r:id="rId438" ref="G218"/>
    <hyperlink r:id="rId439" ref="A219"/>
    <hyperlink r:id="rId440" ref="G219"/>
    <hyperlink r:id="rId441" ref="I219"/>
    <hyperlink r:id="rId442" ref="A220"/>
    <hyperlink r:id="rId443" ref="G220"/>
    <hyperlink r:id="rId444" ref="A221"/>
    <hyperlink r:id="rId445" ref="G221"/>
    <hyperlink r:id="rId446" ref="A222"/>
    <hyperlink r:id="rId447" ref="G222"/>
    <hyperlink r:id="rId448" ref="I222"/>
    <hyperlink r:id="rId449" ref="A223"/>
    <hyperlink r:id="rId450" ref="G223"/>
    <hyperlink r:id="rId451" ref="A224"/>
    <hyperlink r:id="rId452" ref="G224"/>
    <hyperlink r:id="rId453" ref="A225"/>
    <hyperlink r:id="rId454" ref="G225"/>
    <hyperlink r:id="rId455" ref="A226"/>
    <hyperlink r:id="rId456" ref="G226"/>
    <hyperlink r:id="rId457" ref="A227"/>
    <hyperlink r:id="rId458" ref="G227"/>
    <hyperlink r:id="rId459" ref="A228"/>
    <hyperlink r:id="rId460" ref="G228"/>
    <hyperlink r:id="rId461" ref="A229"/>
    <hyperlink r:id="rId462" ref="G229"/>
    <hyperlink r:id="rId463" ref="A230"/>
    <hyperlink r:id="rId464" ref="G230"/>
    <hyperlink r:id="rId465" ref="A231"/>
    <hyperlink r:id="rId466" ref="G231"/>
    <hyperlink r:id="rId467" ref="A232"/>
    <hyperlink r:id="rId468" ref="G232"/>
    <hyperlink r:id="rId469" ref="A233"/>
    <hyperlink r:id="rId470" ref="G233"/>
    <hyperlink r:id="rId471" ref="A234"/>
    <hyperlink r:id="rId472" ref="G234"/>
    <hyperlink r:id="rId473" ref="A235"/>
    <hyperlink r:id="rId474" ref="G235"/>
    <hyperlink r:id="rId475" ref="A236"/>
    <hyperlink r:id="rId476" ref="G236"/>
    <hyperlink r:id="rId477" ref="A237"/>
    <hyperlink r:id="rId478" ref="G237"/>
    <hyperlink r:id="rId479" ref="A238"/>
    <hyperlink r:id="rId480" ref="G238"/>
    <hyperlink r:id="rId481" ref="A239"/>
    <hyperlink r:id="rId482" ref="G239"/>
    <hyperlink r:id="rId483" ref="A240"/>
    <hyperlink r:id="rId484" ref="G240"/>
    <hyperlink r:id="rId485" ref="A241"/>
    <hyperlink r:id="rId486" ref="G241"/>
    <hyperlink r:id="rId487" ref="A242"/>
    <hyperlink r:id="rId488" ref="G242"/>
    <hyperlink r:id="rId489" ref="A243"/>
    <hyperlink r:id="rId490" ref="G243"/>
    <hyperlink r:id="rId491" ref="A244"/>
    <hyperlink r:id="rId492" ref="G244"/>
    <hyperlink r:id="rId493" ref="A245"/>
    <hyperlink r:id="rId494" ref="G245"/>
    <hyperlink r:id="rId495" ref="A246"/>
    <hyperlink r:id="rId496" ref="G246"/>
    <hyperlink r:id="rId497" ref="A247"/>
    <hyperlink r:id="rId498" ref="G247"/>
    <hyperlink r:id="rId499" ref="A248"/>
    <hyperlink r:id="rId500" ref="G248"/>
    <hyperlink r:id="rId501" ref="A249"/>
    <hyperlink r:id="rId502" ref="G249"/>
    <hyperlink r:id="rId503" ref="A250"/>
    <hyperlink r:id="rId504" ref="G250"/>
    <hyperlink r:id="rId505" ref="A251"/>
    <hyperlink r:id="rId506" ref="G251"/>
    <hyperlink r:id="rId507" ref="A252"/>
    <hyperlink r:id="rId508" ref="G252"/>
    <hyperlink r:id="rId509" ref="I252"/>
    <hyperlink r:id="rId510" ref="A253"/>
    <hyperlink r:id="rId511" ref="G253"/>
    <hyperlink r:id="rId512" ref="A254"/>
    <hyperlink r:id="rId513" ref="G254"/>
    <hyperlink r:id="rId514" ref="A255"/>
    <hyperlink r:id="rId515" ref="G255"/>
    <hyperlink r:id="rId516" ref="A256"/>
    <hyperlink r:id="rId517" ref="G256"/>
    <hyperlink r:id="rId518" ref="A257"/>
    <hyperlink r:id="rId519" ref="G257"/>
    <hyperlink r:id="rId520" ref="A258"/>
    <hyperlink r:id="rId521" ref="G258"/>
    <hyperlink r:id="rId522" ref="A259"/>
    <hyperlink r:id="rId523" ref="G259"/>
    <hyperlink r:id="rId524" ref="A260"/>
    <hyperlink r:id="rId525" ref="G260"/>
    <hyperlink r:id="rId526" ref="A261"/>
    <hyperlink r:id="rId527" ref="G261"/>
    <hyperlink r:id="rId528" ref="A262"/>
    <hyperlink r:id="rId529" ref="G262"/>
    <hyperlink r:id="rId530" ref="A263"/>
    <hyperlink r:id="rId531" ref="G263"/>
    <hyperlink r:id="rId532" ref="A264"/>
    <hyperlink r:id="rId533" ref="G264"/>
    <hyperlink r:id="rId534" ref="I264"/>
    <hyperlink r:id="rId535" ref="A265"/>
    <hyperlink r:id="rId536" ref="G265"/>
    <hyperlink r:id="rId537" ref="A266"/>
    <hyperlink r:id="rId538" ref="G266"/>
    <hyperlink r:id="rId539" ref="A267"/>
    <hyperlink r:id="rId540" ref="G267"/>
    <hyperlink r:id="rId541" ref="A268"/>
    <hyperlink r:id="rId542" ref="G268"/>
    <hyperlink r:id="rId543" ref="A269"/>
    <hyperlink r:id="rId544" ref="G269"/>
    <hyperlink r:id="rId545" ref="I269"/>
    <hyperlink r:id="rId546" ref="A270"/>
    <hyperlink r:id="rId547" ref="G270"/>
    <hyperlink r:id="rId548" ref="A271"/>
    <hyperlink r:id="rId549" ref="G271"/>
    <hyperlink r:id="rId550" ref="A272"/>
    <hyperlink r:id="rId551" ref="G272"/>
    <hyperlink r:id="rId552" ref="A273"/>
    <hyperlink r:id="rId553" ref="G273"/>
    <hyperlink r:id="rId554" ref="A274"/>
    <hyperlink r:id="rId555" ref="G274"/>
    <hyperlink r:id="rId556" ref="A275"/>
    <hyperlink r:id="rId557" ref="G275"/>
    <hyperlink r:id="rId558" ref="A276"/>
    <hyperlink r:id="rId559" ref="G276"/>
    <hyperlink r:id="rId560" ref="A277"/>
    <hyperlink r:id="rId561" ref="G277"/>
    <hyperlink r:id="rId562" ref="A278"/>
    <hyperlink r:id="rId563" ref="G278"/>
    <hyperlink r:id="rId564" ref="A279"/>
    <hyperlink r:id="rId565" ref="G279"/>
    <hyperlink r:id="rId566" ref="A280"/>
    <hyperlink r:id="rId567" ref="G280"/>
    <hyperlink r:id="rId568" ref="A281"/>
    <hyperlink r:id="rId569" ref="G281"/>
    <hyperlink r:id="rId570" ref="A282"/>
    <hyperlink r:id="rId571" ref="G282"/>
    <hyperlink r:id="rId572" ref="I282"/>
    <hyperlink r:id="rId573" ref="A283"/>
    <hyperlink r:id="rId574" ref="G283"/>
    <hyperlink r:id="rId575" ref="I283"/>
    <hyperlink r:id="rId576" ref="A284"/>
    <hyperlink r:id="rId577" ref="G284"/>
    <hyperlink r:id="rId578" ref="A285"/>
    <hyperlink r:id="rId579" ref="G285"/>
    <hyperlink r:id="rId580" ref="I285"/>
    <hyperlink r:id="rId581" ref="A286"/>
    <hyperlink r:id="rId582" ref="G286"/>
    <hyperlink r:id="rId583" ref="A287"/>
    <hyperlink r:id="rId584" ref="G287"/>
    <hyperlink r:id="rId585" ref="A288"/>
    <hyperlink r:id="rId586" ref="G288"/>
    <hyperlink r:id="rId587" ref="A289"/>
    <hyperlink r:id="rId588" ref="G289"/>
    <hyperlink r:id="rId589" ref="A290"/>
    <hyperlink r:id="rId590" ref="G290"/>
    <hyperlink r:id="rId591" ref="A291"/>
    <hyperlink r:id="rId592" ref="G291"/>
    <hyperlink r:id="rId593" ref="A292"/>
    <hyperlink r:id="rId594" ref="G292"/>
    <hyperlink r:id="rId595" ref="A293"/>
    <hyperlink r:id="rId596" ref="G293"/>
    <hyperlink r:id="rId597" ref="A294"/>
    <hyperlink r:id="rId598" ref="G294"/>
    <hyperlink r:id="rId599" ref="I294"/>
    <hyperlink r:id="rId600" ref="A295"/>
    <hyperlink r:id="rId601" ref="G295"/>
    <hyperlink r:id="rId602" ref="I295"/>
    <hyperlink r:id="rId603" ref="A296"/>
    <hyperlink r:id="rId604" ref="G296"/>
    <hyperlink r:id="rId605" ref="A297"/>
    <hyperlink r:id="rId606" ref="G297"/>
    <hyperlink r:id="rId607" ref="A298"/>
    <hyperlink r:id="rId608" ref="G298"/>
    <hyperlink r:id="rId609" ref="A299"/>
    <hyperlink r:id="rId610" ref="G299"/>
    <hyperlink r:id="rId611" ref="I299"/>
    <hyperlink r:id="rId612" ref="A300"/>
    <hyperlink r:id="rId613" ref="G300"/>
    <hyperlink r:id="rId614" ref="I300"/>
    <hyperlink r:id="rId615" ref="A301"/>
    <hyperlink r:id="rId616" ref="G301"/>
    <hyperlink r:id="rId617" ref="I301"/>
    <hyperlink r:id="rId618" ref="A302"/>
    <hyperlink r:id="rId619" ref="G302"/>
    <hyperlink r:id="rId620" ref="A303"/>
    <hyperlink r:id="rId621" ref="G303"/>
    <hyperlink r:id="rId622" ref="A304"/>
    <hyperlink r:id="rId623" ref="G304"/>
    <hyperlink r:id="rId624" ref="A305"/>
    <hyperlink r:id="rId625" ref="G305"/>
    <hyperlink r:id="rId626" ref="A306"/>
    <hyperlink r:id="rId627" ref="G306"/>
    <hyperlink r:id="rId628" ref="A307"/>
    <hyperlink r:id="rId629" ref="G307"/>
    <hyperlink r:id="rId630" ref="I307"/>
    <hyperlink r:id="rId631" ref="A308"/>
    <hyperlink r:id="rId632" ref="G308"/>
    <hyperlink r:id="rId633" ref="I308"/>
    <hyperlink r:id="rId634" ref="A309"/>
    <hyperlink r:id="rId635" ref="G309"/>
    <hyperlink r:id="rId636" ref="I309"/>
    <hyperlink r:id="rId637" ref="A310"/>
    <hyperlink r:id="rId638" ref="G310"/>
    <hyperlink r:id="rId639" ref="A311"/>
    <hyperlink r:id="rId640" ref="G311"/>
    <hyperlink r:id="rId641" ref="A312"/>
    <hyperlink r:id="rId642" ref="G312"/>
    <hyperlink r:id="rId643" ref="A313"/>
    <hyperlink r:id="rId644" ref="G313"/>
    <hyperlink r:id="rId645" ref="A314"/>
    <hyperlink r:id="rId646" ref="G314"/>
    <hyperlink r:id="rId647" ref="A331"/>
    <hyperlink r:id="rId648" ref="G331"/>
    <hyperlink r:id="rId649" ref="A332"/>
    <hyperlink r:id="rId650" ref="G332"/>
    <hyperlink r:id="rId651" ref="A333"/>
    <hyperlink r:id="rId652" ref="G333"/>
    <hyperlink r:id="rId653" ref="A334"/>
    <hyperlink r:id="rId654" ref="G334"/>
    <hyperlink r:id="rId655" ref="I334"/>
    <hyperlink r:id="rId656" ref="A335"/>
    <hyperlink r:id="rId657" ref="G335"/>
    <hyperlink r:id="rId658" ref="I335"/>
    <hyperlink r:id="rId659" ref="A336"/>
    <hyperlink r:id="rId660" ref="G336"/>
    <hyperlink r:id="rId661" ref="I336"/>
    <hyperlink r:id="rId662" ref="A337"/>
    <hyperlink r:id="rId663" ref="G337"/>
    <hyperlink r:id="rId664" ref="I337"/>
    <hyperlink r:id="rId665" ref="A338"/>
    <hyperlink r:id="rId666" ref="G338"/>
    <hyperlink r:id="rId667" ref="A339"/>
    <hyperlink r:id="rId668" ref="G339"/>
    <hyperlink r:id="rId669" ref="A340"/>
    <hyperlink r:id="rId670" ref="G340"/>
    <hyperlink r:id="rId671" ref="A341"/>
    <hyperlink r:id="rId672" ref="G341"/>
    <hyperlink r:id="rId673" ref="A342"/>
    <hyperlink r:id="rId674" ref="G342"/>
    <hyperlink r:id="rId675" ref="A343"/>
    <hyperlink r:id="rId676" ref="G343"/>
    <hyperlink r:id="rId677" ref="I343"/>
    <hyperlink r:id="rId678" ref="A344"/>
    <hyperlink r:id="rId679" ref="G344"/>
    <hyperlink r:id="rId680" ref="I344"/>
    <hyperlink r:id="rId681" ref="A345"/>
    <hyperlink r:id="rId682" ref="G345"/>
    <hyperlink r:id="rId683" ref="A346"/>
    <hyperlink r:id="rId684" ref="G346"/>
    <hyperlink r:id="rId685" ref="A347"/>
    <hyperlink r:id="rId686" ref="G347"/>
    <hyperlink r:id="rId687" ref="I347"/>
    <hyperlink r:id="rId688" ref="A348"/>
    <hyperlink r:id="rId689" ref="G348"/>
    <hyperlink r:id="rId690" ref="A349"/>
    <hyperlink r:id="rId691" ref="G349"/>
    <hyperlink r:id="rId692" ref="A350"/>
    <hyperlink r:id="rId693" ref="G350"/>
    <hyperlink r:id="rId694" ref="I350"/>
    <hyperlink r:id="rId695" ref="A351"/>
    <hyperlink r:id="rId696" ref="G351"/>
    <hyperlink r:id="rId697" ref="I351"/>
    <hyperlink r:id="rId698" ref="A352"/>
    <hyperlink r:id="rId699" ref="G352"/>
    <hyperlink r:id="rId700" ref="I352"/>
    <hyperlink r:id="rId701" ref="A353"/>
    <hyperlink r:id="rId702" ref="G353"/>
    <hyperlink r:id="rId703" ref="A354"/>
    <hyperlink r:id="rId704" ref="G354"/>
    <hyperlink r:id="rId705" ref="I354"/>
    <hyperlink r:id="rId706" ref="A355"/>
    <hyperlink r:id="rId707" ref="G355"/>
    <hyperlink r:id="rId708" ref="I355"/>
    <hyperlink r:id="rId709" ref="A356"/>
    <hyperlink r:id="rId710" ref="G356"/>
    <hyperlink r:id="rId711" ref="I356"/>
    <hyperlink r:id="rId712" ref="A357"/>
    <hyperlink r:id="rId713" ref="G357"/>
    <hyperlink r:id="rId714" ref="I357"/>
    <hyperlink r:id="rId715" ref="A358"/>
    <hyperlink r:id="rId716" ref="G358"/>
    <hyperlink r:id="rId717" ref="I358"/>
    <hyperlink r:id="rId718" ref="A359"/>
    <hyperlink r:id="rId719" ref="G359"/>
    <hyperlink r:id="rId720" ref="I359"/>
    <hyperlink r:id="rId721" ref="A360"/>
    <hyperlink r:id="rId722" ref="G360"/>
    <hyperlink r:id="rId723" ref="I360"/>
    <hyperlink r:id="rId724" ref="A361"/>
    <hyperlink r:id="rId725" ref="G361"/>
    <hyperlink r:id="rId726" ref="I361"/>
    <hyperlink r:id="rId727" ref="A362"/>
    <hyperlink r:id="rId728" ref="G362"/>
    <hyperlink r:id="rId729" ref="I362"/>
    <hyperlink r:id="rId730" ref="A363"/>
    <hyperlink r:id="rId731" ref="G363"/>
    <hyperlink r:id="rId732" ref="I363"/>
    <hyperlink r:id="rId733" ref="A364"/>
    <hyperlink r:id="rId734" ref="G364"/>
    <hyperlink r:id="rId735" ref="I364"/>
    <hyperlink r:id="rId736" ref="A365"/>
    <hyperlink r:id="rId737" ref="G365"/>
    <hyperlink r:id="rId738" ref="I365"/>
    <hyperlink r:id="rId739" ref="A366"/>
    <hyperlink r:id="rId740" ref="G366"/>
    <hyperlink r:id="rId741" ref="I366"/>
    <hyperlink r:id="rId742" ref="A367"/>
    <hyperlink r:id="rId743" ref="G367"/>
    <hyperlink r:id="rId744" ref="A368"/>
    <hyperlink r:id="rId745" ref="G368"/>
    <hyperlink r:id="rId746" ref="A369"/>
    <hyperlink r:id="rId747" ref="G369"/>
    <hyperlink r:id="rId748" ref="A370"/>
    <hyperlink r:id="rId749" ref="G370"/>
    <hyperlink r:id="rId750" ref="I370"/>
    <hyperlink r:id="rId751" ref="A371"/>
    <hyperlink r:id="rId752" ref="G371"/>
    <hyperlink r:id="rId753" ref="A372"/>
    <hyperlink r:id="rId754" ref="G372"/>
    <hyperlink r:id="rId755" ref="A373"/>
    <hyperlink r:id="rId756" ref="G373"/>
    <hyperlink r:id="rId757" ref="I373"/>
    <hyperlink r:id="rId758" ref="A374"/>
    <hyperlink r:id="rId759" ref="G374"/>
    <hyperlink r:id="rId760" ref="I374"/>
    <hyperlink r:id="rId761" ref="A375"/>
    <hyperlink r:id="rId762" ref="G375"/>
    <hyperlink r:id="rId763" ref="A376"/>
    <hyperlink r:id="rId764" ref="G376"/>
    <hyperlink r:id="rId765" ref="A377"/>
    <hyperlink r:id="rId766" ref="G377"/>
    <hyperlink r:id="rId767" ref="A378"/>
    <hyperlink r:id="rId768" ref="G378"/>
    <hyperlink r:id="rId769" ref="A379"/>
    <hyperlink r:id="rId770" ref="G379"/>
    <hyperlink r:id="rId771" ref="A380"/>
    <hyperlink r:id="rId772" ref="G380"/>
    <hyperlink r:id="rId773" ref="A381"/>
    <hyperlink r:id="rId774" ref="G381"/>
    <hyperlink r:id="rId775" ref="A382"/>
    <hyperlink r:id="rId776" ref="G382"/>
    <hyperlink r:id="rId777" ref="A383"/>
    <hyperlink r:id="rId778" ref="G383"/>
    <hyperlink r:id="rId779" ref="I383"/>
    <hyperlink r:id="rId780" ref="A384"/>
    <hyperlink r:id="rId781" ref="G384"/>
    <hyperlink r:id="rId782" ref="A385"/>
    <hyperlink r:id="rId783" ref="G385"/>
    <hyperlink r:id="rId784" ref="A386"/>
    <hyperlink r:id="rId785" ref="G386"/>
    <hyperlink r:id="rId786" ref="A387"/>
    <hyperlink r:id="rId787" ref="G387"/>
    <hyperlink r:id="rId788" ref="A388"/>
    <hyperlink r:id="rId789" ref="G388"/>
    <hyperlink r:id="rId790" ref="A389"/>
    <hyperlink r:id="rId791" ref="G389"/>
    <hyperlink r:id="rId792" ref="A390"/>
    <hyperlink r:id="rId793" ref="G390"/>
    <hyperlink r:id="rId794" ref="A391"/>
    <hyperlink r:id="rId795" ref="G391"/>
    <hyperlink r:id="rId796" ref="I391"/>
    <hyperlink r:id="rId797" ref="A392"/>
    <hyperlink r:id="rId798" ref="G392"/>
    <hyperlink r:id="rId799" ref="I392"/>
    <hyperlink r:id="rId800" ref="A393"/>
    <hyperlink r:id="rId801" ref="G393"/>
    <hyperlink r:id="rId802" ref="I393"/>
    <hyperlink r:id="rId803" ref="A394"/>
    <hyperlink r:id="rId804" ref="G394"/>
    <hyperlink r:id="rId805" ref="I394"/>
    <hyperlink r:id="rId806" ref="A395"/>
    <hyperlink r:id="rId807" ref="G395"/>
    <hyperlink r:id="rId808" ref="A396"/>
    <hyperlink r:id="rId809" ref="G396"/>
    <hyperlink r:id="rId810" ref="A397"/>
    <hyperlink r:id="rId811" ref="G397"/>
    <hyperlink r:id="rId812" ref="A398"/>
    <hyperlink r:id="rId813" ref="G398"/>
    <hyperlink r:id="rId814" ref="A399"/>
    <hyperlink r:id="rId815" ref="G399"/>
    <hyperlink r:id="rId816" ref="A400"/>
    <hyperlink r:id="rId817" ref="G400"/>
    <hyperlink r:id="rId818" ref="A401"/>
    <hyperlink r:id="rId819" ref="G401"/>
    <hyperlink r:id="rId820" ref="A402"/>
    <hyperlink r:id="rId821" ref="G402"/>
    <hyperlink r:id="rId822" ref="A403"/>
    <hyperlink r:id="rId823" ref="G403"/>
    <hyperlink r:id="rId824" ref="A404"/>
    <hyperlink r:id="rId825" ref="G404"/>
    <hyperlink r:id="rId826" ref="A405"/>
    <hyperlink r:id="rId827" ref="G405"/>
    <hyperlink r:id="rId828" ref="I405"/>
    <hyperlink r:id="rId829" ref="A406"/>
    <hyperlink r:id="rId830" ref="G406"/>
    <hyperlink r:id="rId831" ref="A407"/>
    <hyperlink r:id="rId832" ref="G407"/>
    <hyperlink r:id="rId833" ref="A408"/>
    <hyperlink r:id="rId834" ref="G408"/>
    <hyperlink r:id="rId835" ref="A409"/>
    <hyperlink r:id="rId836" ref="G409"/>
    <hyperlink r:id="rId837" ref="A410"/>
    <hyperlink r:id="rId838" ref="G410"/>
    <hyperlink r:id="rId839" ref="A411"/>
    <hyperlink r:id="rId840" ref="G411"/>
    <hyperlink r:id="rId841" ref="A412"/>
    <hyperlink r:id="rId842" ref="G412"/>
    <hyperlink r:id="rId843" ref="A413"/>
    <hyperlink r:id="rId844" ref="G413"/>
    <hyperlink r:id="rId845" ref="A414"/>
    <hyperlink r:id="rId846" ref="G414"/>
    <hyperlink r:id="rId847" ref="A415"/>
    <hyperlink r:id="rId848" ref="G415"/>
    <hyperlink r:id="rId849" ref="I415"/>
    <hyperlink r:id="rId850" ref="A416"/>
    <hyperlink r:id="rId851" ref="G416"/>
    <hyperlink r:id="rId852" ref="A417"/>
    <hyperlink r:id="rId853" ref="G417"/>
    <hyperlink r:id="rId854" ref="G418"/>
    <hyperlink r:id="rId855" ref="G419"/>
    <hyperlink r:id="rId856" ref="A420"/>
    <hyperlink r:id="rId857" ref="G420"/>
    <hyperlink r:id="rId858" ref="G421"/>
    <hyperlink r:id="rId859" ref="G422"/>
    <hyperlink r:id="rId860" ref="G423"/>
    <hyperlink r:id="rId861" ref="G424"/>
    <hyperlink r:id="rId862" ref="A425"/>
    <hyperlink r:id="rId863" ref="G425"/>
    <hyperlink r:id="rId864" ref="A426"/>
    <hyperlink r:id="rId865" ref="G426"/>
    <hyperlink r:id="rId866" ref="A427"/>
    <hyperlink r:id="rId867" ref="G427"/>
    <hyperlink r:id="rId868" ref="A428"/>
    <hyperlink r:id="rId869" ref="G428"/>
    <hyperlink r:id="rId870" ref="A429"/>
    <hyperlink r:id="rId871" ref="G429"/>
    <hyperlink r:id="rId872" ref="A430"/>
    <hyperlink r:id="rId873" ref="G430"/>
    <hyperlink r:id="rId874" ref="A431"/>
    <hyperlink r:id="rId875" ref="G431"/>
    <hyperlink r:id="rId876" ref="A432"/>
    <hyperlink r:id="rId877" ref="G432"/>
    <hyperlink r:id="rId878" ref="A433"/>
    <hyperlink r:id="rId879" ref="G433"/>
    <hyperlink r:id="rId880" ref="A434"/>
    <hyperlink r:id="rId881" ref="G434"/>
    <hyperlink r:id="rId882" ref="A435"/>
    <hyperlink r:id="rId883" ref="G435"/>
    <hyperlink r:id="rId884" ref="A436"/>
    <hyperlink r:id="rId885" ref="G436"/>
    <hyperlink r:id="rId886" ref="A437"/>
    <hyperlink r:id="rId887" ref="G437"/>
    <hyperlink r:id="rId888" ref="A438"/>
    <hyperlink r:id="rId889" ref="G438"/>
    <hyperlink r:id="rId890" ref="A439"/>
    <hyperlink r:id="rId891" ref="G439"/>
    <hyperlink r:id="rId892" ref="A440"/>
    <hyperlink r:id="rId893" ref="G440"/>
    <hyperlink r:id="rId894" ref="A441"/>
    <hyperlink r:id="rId895" ref="G441"/>
    <hyperlink r:id="rId896" ref="A442"/>
    <hyperlink r:id="rId897" ref="G442"/>
    <hyperlink r:id="rId898" ref="A443"/>
    <hyperlink r:id="rId899" ref="G443"/>
    <hyperlink r:id="rId900" ref="A444"/>
    <hyperlink r:id="rId901" ref="G444"/>
    <hyperlink r:id="rId902" ref="A445"/>
    <hyperlink r:id="rId903" ref="G445"/>
    <hyperlink r:id="rId904" ref="A446"/>
    <hyperlink r:id="rId905" ref="G446"/>
    <hyperlink r:id="rId906" ref="A447"/>
    <hyperlink r:id="rId907" ref="G447"/>
    <hyperlink r:id="rId908" ref="A448"/>
    <hyperlink r:id="rId909" ref="G448"/>
    <hyperlink r:id="rId910" ref="A449"/>
    <hyperlink r:id="rId911" ref="G449"/>
    <hyperlink r:id="rId912" ref="A450"/>
    <hyperlink r:id="rId913" ref="G450"/>
    <hyperlink r:id="rId914" ref="A451"/>
    <hyperlink r:id="rId915" ref="G451"/>
    <hyperlink r:id="rId916" ref="A452"/>
    <hyperlink r:id="rId917" ref="G452"/>
    <hyperlink r:id="rId918" ref="A453"/>
    <hyperlink r:id="rId919" ref="G453"/>
    <hyperlink r:id="rId920" ref="A454"/>
    <hyperlink r:id="rId921" ref="G454"/>
    <hyperlink r:id="rId922" ref="A455"/>
    <hyperlink r:id="rId923" ref="G455"/>
    <hyperlink r:id="rId924" ref="A456"/>
    <hyperlink r:id="rId925" ref="G456"/>
    <hyperlink r:id="rId926" ref="G457"/>
    <hyperlink r:id="rId927" ref="A458"/>
    <hyperlink r:id="rId928" ref="G458"/>
    <hyperlink r:id="rId929" ref="A459"/>
    <hyperlink r:id="rId930" ref="G459"/>
    <hyperlink r:id="rId931" ref="A460"/>
    <hyperlink r:id="rId932" ref="G460"/>
    <hyperlink r:id="rId933" ref="A461"/>
    <hyperlink r:id="rId934" ref="G461"/>
    <hyperlink r:id="rId935" ref="A462"/>
    <hyperlink r:id="rId936" ref="G462"/>
    <hyperlink r:id="rId937" ref="A463"/>
    <hyperlink r:id="rId938" ref="G463"/>
    <hyperlink r:id="rId939" ref="A464"/>
    <hyperlink r:id="rId940" ref="G464"/>
    <hyperlink r:id="rId941" ref="A465"/>
    <hyperlink r:id="rId942" ref="G465"/>
    <hyperlink r:id="rId943" ref="A466"/>
    <hyperlink r:id="rId944" ref="G466"/>
    <hyperlink r:id="rId945" ref="A467"/>
    <hyperlink r:id="rId946" ref="G467"/>
    <hyperlink r:id="rId947" ref="A468"/>
    <hyperlink r:id="rId948" ref="G468"/>
    <hyperlink r:id="rId949" ref="A469"/>
    <hyperlink r:id="rId950" ref="G469"/>
    <hyperlink r:id="rId951" ref="A470"/>
    <hyperlink r:id="rId952" ref="G470"/>
    <hyperlink r:id="rId953" ref="A471"/>
    <hyperlink r:id="rId954" ref="G471"/>
    <hyperlink r:id="rId955" ref="A472"/>
    <hyperlink r:id="rId956" ref="G472"/>
    <hyperlink r:id="rId957" ref="A473"/>
    <hyperlink r:id="rId958" ref="G473"/>
    <hyperlink r:id="rId959" ref="A474"/>
    <hyperlink r:id="rId960" ref="G474"/>
    <hyperlink r:id="rId961" ref="A475"/>
    <hyperlink r:id="rId962" ref="G475"/>
    <hyperlink r:id="rId963" ref="A476"/>
    <hyperlink r:id="rId964" ref="G476"/>
    <hyperlink r:id="rId965" ref="A477"/>
    <hyperlink r:id="rId966" ref="G477"/>
    <hyperlink r:id="rId967" ref="A478"/>
    <hyperlink r:id="rId968" ref="G478"/>
    <hyperlink r:id="rId969" ref="A479"/>
    <hyperlink r:id="rId970" ref="G479"/>
  </hyperlinks>
  <drawing r:id="rId97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6.43"/>
    <col customWidth="1" min="4" max="4" width="27.29"/>
    <col customWidth="1" min="5" max="5" width="11.7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</sheetData>
  <drawing r:id="rId2"/>
</worksheet>
</file>